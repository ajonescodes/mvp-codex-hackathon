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ssumptions" sheetId="2" state="visible" r:id="rId2"/>
    <sheet name="P&amp;L" sheetId="3" state="visible" r:id="rId3"/>
    <sheet name="Cash_Flow" sheetId="4" state="visible" r:id="rId4"/>
    <sheet name="Balance_Sheet" sheetId="5" state="visible" r:id="rId5"/>
    <sheet name="Bank_Statements" sheetId="6" state="visible" r:id="rId6"/>
    <sheet name="AR_Aging" sheetId="7" state="visible" r:id="rId7"/>
    <sheet name="AP_Aging" sheetId="8" state="visible" r:id="rId8"/>
    <sheet name="Debt_Schedule" sheetId="9" state="visible" r:id="rId9"/>
    <sheet name="Trial_Balance" sheetId="10" state="visible" r:id="rId10"/>
    <sheet name="GL_Detail" sheetId="11" state="visible" r:id="rId11"/>
    <sheet name="Revenue_Concentration" sheetId="12" state="visible" r:id="rId12"/>
    <sheet name="Gross_Margin_Trend" sheetId="13" state="visible" r:id="rId13"/>
    <sheet name="Inventory_Turnover" sheetId="14" state="visible" r:id="rId14"/>
    <sheet name="Capex_History_Plan" sheetId="15" state="visible" r:id="rId15"/>
    <sheet name="Borrowing_Base" sheetId="16" state="visible" r:id="rId16"/>
    <sheet name="Projections_24M" sheetId="17" state="visible" r:id="rId17"/>
  </sheets>
  <definedNames>
    <definedName name="_xlnm._FilterDatabase" localSheetId="2" hidden="1">'P&amp;L'!$A$4:$E$29</definedName>
    <definedName name="_xlnm._FilterDatabase" localSheetId="3" hidden="1">'Cash_Flow'!$A$4:$E$30</definedName>
    <definedName name="_xlnm._FilterDatabase" localSheetId="4" hidden="1">'Balance_Sheet'!$A$4:$E$33</definedName>
    <definedName name="_xlnm._FilterDatabase" localSheetId="5" hidden="1">'Bank_Statements'!$A$4:$J$40</definedName>
    <definedName name="_xlnm._FilterDatabase" localSheetId="6" hidden="1">'AR_Aging'!$A$4:$L$20</definedName>
    <definedName name="_xlnm._FilterDatabase" localSheetId="7" hidden="1">'AP_Aging'!$A$4:$L$20</definedName>
    <definedName name="_xlnm._FilterDatabase" localSheetId="8" hidden="1">'Debt_Schedule'!$A$4:$N$21</definedName>
    <definedName name="_xlnm._FilterDatabase" localSheetId="9" hidden="1">'Trial_Balance'!$A$4:$F$37</definedName>
    <definedName name="_xlnm._FilterDatabase" localSheetId="10" hidden="1">'GL_Detail'!$A$4:$K$65</definedName>
    <definedName name="_xlnm._FilterDatabase" localSheetId="11" hidden="1">'Revenue_Concentration'!$A$4:$J$14</definedName>
    <definedName name="_xlnm._FilterDatabase" localSheetId="12" hidden="1">'Gross_Margin_Trend'!$A$4:$F$23</definedName>
    <definedName name="_xlnm._FilterDatabase" localSheetId="13" hidden="1">'Inventory_Turnover'!$A$5:$H$18</definedName>
    <definedName name="_xlnm._FilterDatabase" localSheetId="14" hidden="1">'Capex_History_Plan'!$A$4:$H$10</definedName>
    <definedName name="_xlnm._FilterDatabase" localSheetId="15" hidden="1">'Borrowing_Base'!$A$4:$E$27</definedName>
    <definedName name="_xlnm._FilterDatabase" localSheetId="16" hidden="1">'Projections_24M'!$A$18:$K$42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#,##0_);[Red](#,##0);&quot;-&quot;"/>
    <numFmt numFmtId="165" formatCode="$#,##0_);[Red]($#,##0);&quot;-&quot;"/>
    <numFmt numFmtId="166" formatCode="yyyy-mm-dd"/>
    <numFmt numFmtId="167" formatCode="0.0%"/>
    <numFmt numFmtId="168" formatCode="$0.00"/>
    <numFmt numFmtId="169" formatCode="0.00x"/>
    <numFmt numFmtId="170" formatCode="0.0"/>
    <numFmt numFmtId="171" formatCode="yyyy-mm"/>
  </numFmts>
  <fonts count="8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color rgb="00FFFFFF"/>
    </font>
    <font>
      <b val="1"/>
    </font>
    <font>
      <color rgb="001F4E78"/>
    </font>
    <font>
      <color rgb="00000000"/>
    </font>
    <font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44546A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10" fontId="5" fillId="3" borderId="1" applyAlignment="1" pivotButton="0" quotePrefix="0" xfId="0">
      <alignment horizontal="left"/>
    </xf>
    <xf numFmtId="164" fontId="5" fillId="3" borderId="1" applyAlignment="1" pivotButton="0" quotePrefix="0" xfId="0">
      <alignment horizontal="left"/>
    </xf>
    <xf numFmtId="165" fontId="5" fillId="3" borderId="1" applyAlignment="1" pivotButton="0" quotePrefix="0" xfId="0">
      <alignment horizontal="left"/>
    </xf>
    <xf numFmtId="166" fontId="5" fillId="3" borderId="1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0" fontId="0" fillId="0" borderId="1" pivotButton="0" quotePrefix="0" xfId="0"/>
    <xf numFmtId="165" fontId="5" fillId="3" borderId="1" applyAlignment="1" pivotButton="0" quotePrefix="0" xfId="0">
      <alignment horizontal="right"/>
    </xf>
    <xf numFmtId="0" fontId="4" fillId="0" borderId="1" pivotButton="0" quotePrefix="0" xfId="0"/>
    <xf numFmtId="165" fontId="4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4" fillId="5" borderId="1" pivotButton="0" quotePrefix="0" xfId="0"/>
    <xf numFmtId="165" fontId="4" fillId="5" borderId="1" applyAlignment="1" pivotButton="0" quotePrefix="0" xfId="0">
      <alignment horizontal="right"/>
    </xf>
    <xf numFmtId="166" fontId="0" fillId="0" borderId="1" pivotButton="0" quotePrefix="0" xfId="0"/>
    <xf numFmtId="165" fontId="0" fillId="0" borderId="1" applyAlignment="1" pivotButton="0" quotePrefix="0" xfId="0">
      <alignment horizontal="right"/>
    </xf>
    <xf numFmtId="0" fontId="0" fillId="5" borderId="1" pivotButton="0" quotePrefix="0" xfId="0"/>
    <xf numFmtId="165" fontId="4" fillId="5" borderId="1" pivotButton="0" quotePrefix="0" xfId="0"/>
    <xf numFmtId="165" fontId="5" fillId="3" borderId="1" pivotButton="0" quotePrefix="0" xfId="0"/>
    <xf numFmtId="0" fontId="5" fillId="3" borderId="1" pivotButton="0" quotePrefix="0" xfId="0"/>
    <xf numFmtId="10" fontId="5" fillId="3" borderId="1" pivotButton="0" quotePrefix="0" xfId="0"/>
    <xf numFmtId="166" fontId="5" fillId="3" borderId="1" pivotButton="0" quotePrefix="0" xfId="0"/>
    <xf numFmtId="165" fontId="6" fillId="0" borderId="1" pivotButton="0" quotePrefix="0" xfId="0"/>
    <xf numFmtId="10" fontId="0" fillId="0" borderId="1" pivotButton="0" quotePrefix="0" xfId="0"/>
    <xf numFmtId="10" fontId="4" fillId="5" borderId="1" pivotButton="0" quotePrefix="0" xfId="0"/>
    <xf numFmtId="0" fontId="0" fillId="0" borderId="4" pivotButton="0" quotePrefix="0" xfId="0"/>
    <xf numFmtId="0" fontId="0" fillId="0" borderId="5" pivotButton="0" quotePrefix="0" xfId="0"/>
    <xf numFmtId="165" fontId="0" fillId="0" borderId="1" pivotButton="0" quotePrefix="0" xfId="0"/>
    <xf numFmtId="167" fontId="0" fillId="0" borderId="1" pivotButton="0" quotePrefix="0" xfId="0"/>
    <xf numFmtId="164" fontId="0" fillId="0" borderId="1" pivotButton="0" quotePrefix="0" xfId="0"/>
    <xf numFmtId="167" fontId="4" fillId="5" borderId="1" pivotButton="0" quotePrefix="0" xfId="0"/>
    <xf numFmtId="0" fontId="7" fillId="0" borderId="0" pivotButton="0" quotePrefix="0" xfId="0"/>
    <xf numFmtId="167" fontId="0" fillId="3" borderId="1" pivotButton="0" quotePrefix="0" xfId="0"/>
    <xf numFmtId="168" fontId="0" fillId="0" borderId="1" pivotButton="0" quotePrefix="0" xfId="0"/>
    <xf numFmtId="165" fontId="0" fillId="3" borderId="1" pivotButton="0" quotePrefix="0" xfId="0"/>
    <xf numFmtId="169" fontId="4" fillId="0" borderId="1" pivotButton="0" quotePrefix="0" xfId="0"/>
    <xf numFmtId="170" fontId="4" fillId="5" borderId="1" pivotButton="0" quotePrefix="0" xfId="0"/>
    <xf numFmtId="10" fontId="0" fillId="3" borderId="1" pivotButton="0" quotePrefix="0" xfId="0"/>
    <xf numFmtId="171" fontId="0" fillId="0" borderId="1" pivotButton="0" quotePrefix="0" xfId="0"/>
    <xf numFmtId="167" fontId="5" fillId="3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169" fontId="0" fillId="5" borderId="1" applyAlignment="1" pivotButton="0" quotePrefix="0" xfId="0">
      <alignment horizontal="right"/>
    </xf>
    <xf numFmtId="0" fontId="4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omments/comment1.xml><?xml version="1.0" encoding="utf-8"?>
<comments xmlns="http://schemas.openxmlformats.org/spreadsheetml/2006/main">
  <authors>
    <author>Codex</author>
  </authors>
  <commentList>
    <comment ref="B5" authorId="0" shapeId="0">
      <text>
        <t>Source: https://fred.stlouisfed.org/series/FYFRGDA188S</t>
      </text>
    </comment>
    <comment ref="B6" authorId="0" shapeId="0">
      <text>
        <t>Source: https://www.census.gov/econ</t>
      </text>
    </comment>
    <comment ref="B7" authorId="0" shapeId="0">
      <text>
        <t>Source: https://ec.europa.eu/eurostat</t>
      </text>
    </comment>
    <comment ref="B8" authorId="0" shapeId="0">
      <text>
        <t>Source: https://www.eia.gov/petroleum/gasdiesel/</t>
      </text>
    </comment>
    <comment ref="B9" authorId="0" shapeId="0">
      <text>
        <t>Source: https://www.cfainstitute.org</t>
      </text>
    </comment>
    <comment ref="B10" authorId="0" shapeId="0">
      <text>
        <t>Source: https://www.cfainstitute.org</t>
      </text>
    </comment>
    <comment ref="B11" authorId="0" shapeId="0">
      <text>
        <t>Source: https://www.federalreserve.gov</t>
      </text>
    </comment>
    <comment ref="B12" authorId="0" shapeId="0">
      <text>
        <t>Source: https://www.sec.gov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8" customWidth="1" min="2" max="2"/>
    <col width="28" customWidth="1" min="3" max="3"/>
  </cols>
  <sheetData>
    <row r="1">
      <c r="A1" s="1" t="inlineStr">
        <is>
          <t>Apex Logistics - Loan Underwriting Financial Package</t>
        </is>
      </c>
    </row>
    <row r="2">
      <c r="A2" s="2" t="inlineStr">
        <is>
          <t>Hypothetical global logistics enterprise with primary operations in the U.S. and Europe</t>
        </is>
      </c>
    </row>
    <row r="4">
      <c r="A4" s="3" t="inlineStr">
        <is>
          <t>Field</t>
        </is>
      </c>
      <c r="B4" s="3" t="inlineStr">
        <is>
          <t>Value</t>
        </is>
      </c>
      <c r="C4" s="3" t="inlineStr">
        <is>
          <t>Notes</t>
        </is>
      </c>
    </row>
    <row r="5">
      <c r="A5" s="4" t="inlineStr">
        <is>
          <t>Prepared For</t>
        </is>
      </c>
      <c r="B5" s="5" t="inlineStr">
        <is>
          <t>Business Loan Documentation Package</t>
        </is>
      </c>
      <c r="C5" s="5" t="inlineStr">
        <is>
          <t>Included in workbook tabs</t>
        </is>
      </c>
    </row>
    <row r="6">
      <c r="A6" s="4" t="inlineStr">
        <is>
          <t>Company</t>
        </is>
      </c>
      <c r="B6" s="5" t="inlineStr">
        <is>
          <t>Apex Logistics</t>
        </is>
      </c>
      <c r="C6" s="5" t="inlineStr">
        <is>
          <t>Included in workbook tabs</t>
        </is>
      </c>
    </row>
    <row r="7">
      <c r="A7" s="4" t="inlineStr">
        <is>
          <t>Reporting Currency</t>
        </is>
      </c>
      <c r="B7" s="5" t="inlineStr">
        <is>
          <t>USD ($000 unless noted)</t>
        </is>
      </c>
      <c r="C7" s="5" t="inlineStr">
        <is>
          <t>Included in workbook tabs</t>
        </is>
      </c>
    </row>
    <row r="8">
      <c r="A8" s="4" t="inlineStr">
        <is>
          <t>Reporting Cutoff</t>
        </is>
      </c>
      <c r="B8" s="5" t="inlineStr">
        <is>
          <t>2026-01-31</t>
        </is>
      </c>
      <c r="C8" s="5" t="inlineStr">
        <is>
          <t>Included in workbook tabs</t>
        </is>
      </c>
    </row>
    <row r="9">
      <c r="A9" s="4" t="inlineStr">
        <is>
          <t>Coverage</t>
        </is>
      </c>
      <c r="B9" s="5" t="inlineStr">
        <is>
          <t>Historical 2023A-2025A and YTD 2026</t>
        </is>
      </c>
      <c r="C9" s="5" t="inlineStr">
        <is>
          <t>Included in workbook tabs</t>
        </is>
      </c>
    </row>
    <row r="10">
      <c r="A10" s="4" t="inlineStr">
        <is>
          <t>Company Size Profile</t>
        </is>
      </c>
      <c r="B10" s="5" t="inlineStr">
        <is>
          <t>~$100M annual revenue (2025A synthetic target)</t>
        </is>
      </c>
      <c r="C10" s="5" t="inlineStr">
        <is>
          <t>Included in workbook tabs</t>
        </is>
      </c>
    </row>
    <row r="11">
      <c r="A11" s="4" t="inlineStr">
        <is>
          <t>Source Note</t>
        </is>
      </c>
      <c r="B11" s="5" t="inlineStr">
        <is>
          <t>Synthetic dataset for underwriting checklist demonstration</t>
        </is>
      </c>
      <c r="C11" s="5" t="inlineStr">
        <is>
          <t>Included in workbook tabs</t>
        </is>
      </c>
    </row>
    <row r="12">
      <c r="A12" s="4" t="inlineStr">
        <is>
          <t>Reference Source 1</t>
        </is>
      </c>
      <c r="B12" s="5" t="inlineStr">
        <is>
          <t>https://www.census.gov/econ</t>
        </is>
      </c>
      <c r="C12" s="5" t="inlineStr">
        <is>
          <t>Included in workbook tabs</t>
        </is>
      </c>
    </row>
    <row r="13">
      <c r="A13" s="4" t="inlineStr">
        <is>
          <t>Reference Source 2</t>
        </is>
      </c>
      <c r="B13" s="5" t="inlineStr">
        <is>
          <t>https://ec.europa.eu/eurostat</t>
        </is>
      </c>
      <c r="C13" s="5" t="inlineStr">
        <is>
          <t>Included in workbook tabs</t>
        </is>
      </c>
    </row>
    <row r="14">
      <c r="A14" s="4" t="inlineStr">
        <is>
          <t>Reference Source 3</t>
        </is>
      </c>
      <c r="B14" s="5" t="inlineStr">
        <is>
          <t>https://fred.stlouisfed.org</t>
        </is>
      </c>
      <c r="C14" s="5" t="inlineStr">
        <is>
          <t>Included in workbook tabs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44" customWidth="1" min="4" max="4"/>
    <col width="44" customWidth="1" min="5" max="5"/>
  </cols>
  <sheetData>
    <row r="1">
      <c r="A1" s="1" t="inlineStr">
        <is>
          <t>Model Assumptions</t>
        </is>
      </c>
    </row>
    <row r="2">
      <c r="A2" s="2" t="inlineStr">
        <is>
          <t>Raw input drivers and source references</t>
        </is>
      </c>
    </row>
    <row r="4">
      <c r="A4" s="3" t="inlineStr">
        <is>
          <t>Input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Description</t>
        </is>
      </c>
      <c r="E4" s="3" t="inlineStr">
        <is>
          <t>Source URL</t>
        </is>
      </c>
    </row>
    <row r="5">
      <c r="A5" s="4" t="inlineStr">
        <is>
          <t>Tax Rate</t>
        </is>
      </c>
      <c r="B5" s="6" t="n">
        <v>0.27</v>
      </c>
      <c r="C5" s="5" t="inlineStr">
        <is>
          <t>%</t>
        </is>
      </c>
      <c r="D5" s="5" t="inlineStr">
        <is>
          <t>Effective blended tax rate</t>
        </is>
      </c>
      <c r="E5" s="5" t="inlineStr">
        <is>
          <t>https://fred.stlouisfed.org/series/FYFRGDA188S</t>
        </is>
      </c>
    </row>
    <row r="6">
      <c r="A6" s="4" t="inlineStr">
        <is>
          <t>U.S. Revenue Share</t>
        </is>
      </c>
      <c r="B6" s="6" t="n">
        <v>0.62</v>
      </c>
      <c r="C6" s="5" t="inlineStr">
        <is>
          <t>%</t>
        </is>
      </c>
      <c r="D6" s="5" t="inlineStr">
        <is>
          <t>Share of revenue generated in the U.S.</t>
        </is>
      </c>
      <c r="E6" s="5" t="inlineStr">
        <is>
          <t>https://www.census.gov/econ</t>
        </is>
      </c>
    </row>
    <row r="7">
      <c r="A7" s="4" t="inlineStr">
        <is>
          <t>Europe Revenue Share</t>
        </is>
      </c>
      <c r="B7" s="6" t="n">
        <v>0.38</v>
      </c>
      <c r="C7" s="5" t="inlineStr">
        <is>
          <t>%</t>
        </is>
      </c>
      <c r="D7" s="5" t="inlineStr">
        <is>
          <t>Share of revenue generated in Europe</t>
        </is>
      </c>
      <c r="E7" s="5" t="inlineStr">
        <is>
          <t>https://ec.europa.eu/eurostat</t>
        </is>
      </c>
    </row>
    <row r="8">
      <c r="A8" s="4" t="inlineStr">
        <is>
          <t>Avg Diesel Cost Index</t>
        </is>
      </c>
      <c r="B8" s="7" t="n">
        <v>1</v>
      </c>
      <c r="C8" s="5" t="inlineStr">
        <is>
          <t>Index</t>
        </is>
      </c>
      <c r="D8" s="5" t="inlineStr">
        <is>
          <t>Indexed fuel cost assumption</t>
        </is>
      </c>
      <c r="E8" s="5" t="inlineStr">
        <is>
          <t>https://www.eia.gov/petroleum/gasdiesel/</t>
        </is>
      </c>
    </row>
    <row r="9">
      <c r="A9" s="4" t="inlineStr">
        <is>
          <t>Avg DSO</t>
        </is>
      </c>
      <c r="B9" s="7" t="n">
        <v>48</v>
      </c>
      <c r="C9" s="5" t="inlineStr">
        <is>
          <t>Days</t>
        </is>
      </c>
      <c r="D9" s="5" t="inlineStr">
        <is>
          <t>Days sales outstanding assumption</t>
        </is>
      </c>
      <c r="E9" s="5" t="inlineStr">
        <is>
          <t>https://www.cfainstitute.org</t>
        </is>
      </c>
    </row>
    <row r="10">
      <c r="A10" s="4" t="inlineStr">
        <is>
          <t>Avg DPO</t>
        </is>
      </c>
      <c r="B10" s="7" t="n">
        <v>36</v>
      </c>
      <c r="C10" s="5" t="inlineStr">
        <is>
          <t>Days</t>
        </is>
      </c>
      <c r="D10" s="5" t="inlineStr">
        <is>
          <t>Days payable outstanding assumption</t>
        </is>
      </c>
      <c r="E10" s="5" t="inlineStr">
        <is>
          <t>https://www.cfainstitute.org</t>
        </is>
      </c>
    </row>
    <row r="11">
      <c r="A11" s="4" t="inlineStr">
        <is>
          <t>Working Capital Buffer</t>
        </is>
      </c>
      <c r="B11" s="8" t="n">
        <v>2050</v>
      </c>
      <c r="C11" s="5" t="inlineStr">
        <is>
          <t>USD ($000)</t>
        </is>
      </c>
      <c r="D11" s="5" t="inlineStr">
        <is>
          <t>Target liquidity buffer</t>
        </is>
      </c>
      <c r="E11" s="5" t="inlineStr">
        <is>
          <t>https://www.federalreserve.gov</t>
        </is>
      </c>
    </row>
    <row r="12">
      <c r="A12" s="4" t="inlineStr">
        <is>
          <t>YTD End Date</t>
        </is>
      </c>
      <c r="B12" s="9" t="n">
        <v>46053</v>
      </c>
      <c r="C12" s="5" t="inlineStr">
        <is>
          <t>Date</t>
        </is>
      </c>
      <c r="D12" s="5" t="inlineStr">
        <is>
          <t>Current reporting cutoff</t>
        </is>
      </c>
      <c r="E12" s="5" t="inlineStr">
        <is>
          <t>https://www.sec.gov</t>
        </is>
      </c>
    </row>
  </sheetData>
  <mergeCells count="2">
    <mergeCell ref="A2:E2"/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Profit &amp; Loss Statement</t>
        </is>
      </c>
    </row>
    <row r="2">
      <c r="A2" s="2" t="inlineStr">
        <is>
          <t>Historical and YTD performance (USD $000)</t>
        </is>
      </c>
    </row>
    <row r="4">
      <c r="A4" s="3" t="inlineStr">
        <is>
          <t>Line Item</t>
        </is>
      </c>
      <c r="B4" s="3" t="inlineStr">
        <is>
          <t>2023A</t>
        </is>
      </c>
      <c r="C4" s="3" t="inlineStr">
        <is>
          <t>2024A</t>
        </is>
      </c>
      <c r="D4" s="3" t="inlineStr">
        <is>
          <t>2025A</t>
        </is>
      </c>
      <c r="E4" s="3" t="inlineStr">
        <is>
          <t>2026 YTD (Jan)</t>
        </is>
      </c>
    </row>
    <row r="6">
      <c r="A6" s="10" t="inlineStr">
        <is>
          <t>Revenue</t>
        </is>
      </c>
      <c r="B6" s="29" t="n"/>
      <c r="C6" s="29" t="n"/>
      <c r="D6" s="29" t="n"/>
      <c r="E6" s="30" t="n"/>
    </row>
    <row r="7">
      <c r="A7" s="11" t="inlineStr">
        <is>
          <t>Linehaul Revenue</t>
        </is>
      </c>
      <c r="B7" s="12" t="n">
        <v>60137</v>
      </c>
      <c r="C7" s="12" t="n">
        <v>66059</v>
      </c>
      <c r="D7" s="12" t="n">
        <v>71982</v>
      </c>
      <c r="E7" s="12" t="n">
        <v>6287</v>
      </c>
    </row>
    <row r="8">
      <c r="A8" s="11" t="inlineStr">
        <is>
          <t>Warehousing Revenue</t>
        </is>
      </c>
      <c r="B8" s="12" t="n">
        <v>15490</v>
      </c>
      <c r="C8" s="12" t="n">
        <v>17084</v>
      </c>
      <c r="D8" s="12" t="n">
        <v>18679</v>
      </c>
      <c r="E8" s="12" t="n">
        <v>1595</v>
      </c>
    </row>
    <row r="9">
      <c r="A9" s="11" t="inlineStr">
        <is>
          <t>Customs &amp; Other Services</t>
        </is>
      </c>
      <c r="B9" s="12" t="n">
        <v>7289</v>
      </c>
      <c r="C9" s="12" t="n">
        <v>8200</v>
      </c>
      <c r="D9" s="12" t="n">
        <v>9339</v>
      </c>
      <c r="E9" s="12" t="n">
        <v>774</v>
      </c>
    </row>
    <row r="10">
      <c r="A10" s="13" t="inlineStr">
        <is>
          <t>Total Revenue</t>
        </is>
      </c>
      <c r="B10" s="14">
        <f>SUM(B7:B9)</f>
        <v/>
      </c>
      <c r="C10" s="14">
        <f>SUM(C7:C9)</f>
        <v/>
      </c>
      <c r="D10" s="14">
        <f>SUM(D7:D9)</f>
        <v/>
      </c>
      <c r="E10" s="14">
        <f>SUM(E7:E9)</f>
        <v/>
      </c>
    </row>
    <row r="12">
      <c r="A12" s="10" t="inlineStr">
        <is>
          <t>Operating Costs</t>
        </is>
      </c>
      <c r="B12" s="29" t="n"/>
      <c r="C12" s="29" t="n"/>
      <c r="D12" s="29" t="n"/>
      <c r="E12" s="30" t="n"/>
    </row>
    <row r="13">
      <c r="A13" s="11" t="inlineStr">
        <is>
          <t>Linehaul &amp; Delivery Costs</t>
        </is>
      </c>
      <c r="B13" s="12" t="n">
        <v>34624</v>
      </c>
      <c r="C13" s="12" t="n">
        <v>37722</v>
      </c>
      <c r="D13" s="12" t="n">
        <v>41139</v>
      </c>
      <c r="E13" s="12" t="n">
        <v>3576</v>
      </c>
    </row>
    <row r="14">
      <c r="A14" s="11" t="inlineStr">
        <is>
          <t>Fuel Costs</t>
        </is>
      </c>
      <c r="B14" s="12" t="n">
        <v>8884</v>
      </c>
      <c r="C14" s="12" t="n">
        <v>9294</v>
      </c>
      <c r="D14" s="12" t="n">
        <v>9658</v>
      </c>
      <c r="E14" s="12" t="n">
        <v>802</v>
      </c>
    </row>
    <row r="15">
      <c r="A15" s="11" t="inlineStr">
        <is>
          <t>Labor &amp; Benefits</t>
        </is>
      </c>
      <c r="B15" s="12" t="n">
        <v>11936</v>
      </c>
      <c r="C15" s="12" t="n">
        <v>12938</v>
      </c>
      <c r="D15" s="12" t="n">
        <v>14077</v>
      </c>
      <c r="E15" s="12" t="n">
        <v>1194</v>
      </c>
    </row>
    <row r="16">
      <c r="A16" s="11" t="inlineStr">
        <is>
          <t>Facility &amp; Warehouse</t>
        </is>
      </c>
      <c r="B16" s="12" t="n">
        <v>4419</v>
      </c>
      <c r="C16" s="12" t="n">
        <v>4692</v>
      </c>
      <c r="D16" s="12" t="n">
        <v>4920</v>
      </c>
      <c r="E16" s="12" t="n">
        <v>419</v>
      </c>
    </row>
    <row r="17">
      <c r="A17" s="11" t="inlineStr">
        <is>
          <t>Technology &amp; Communications</t>
        </is>
      </c>
      <c r="B17" s="12" t="n">
        <v>1913</v>
      </c>
      <c r="C17" s="12" t="n">
        <v>2141</v>
      </c>
      <c r="D17" s="12" t="n">
        <v>2415</v>
      </c>
      <c r="E17" s="12" t="n">
        <v>205</v>
      </c>
    </row>
    <row r="18">
      <c r="A18" s="11" t="inlineStr">
        <is>
          <t>General &amp; Administrative</t>
        </is>
      </c>
      <c r="B18" s="12" t="n">
        <v>3781</v>
      </c>
      <c r="C18" s="12" t="n">
        <v>4055</v>
      </c>
      <c r="D18" s="12" t="n">
        <v>4419</v>
      </c>
      <c r="E18" s="12" t="n">
        <v>369</v>
      </c>
    </row>
    <row r="19">
      <c r="A19" s="13" t="inlineStr">
        <is>
          <t>Total Operating Costs</t>
        </is>
      </c>
      <c r="B19" s="14">
        <f>SUM(B13:B18)</f>
        <v/>
      </c>
      <c r="C19" s="14">
        <f>SUM(C13:C18)</f>
        <v/>
      </c>
      <c r="D19" s="14">
        <f>SUM(D13:D18)</f>
        <v/>
      </c>
      <c r="E19" s="14">
        <f>SUM(E13:E18)</f>
        <v/>
      </c>
    </row>
    <row r="20">
      <c r="A20" s="13" t="inlineStr">
        <is>
          <t>EBITDA</t>
        </is>
      </c>
      <c r="B20" s="14">
        <f>B10-B19</f>
        <v/>
      </c>
      <c r="C20" s="14">
        <f>C10-C19</f>
        <v/>
      </c>
      <c r="D20" s="14">
        <f>D10-D19</f>
        <v/>
      </c>
      <c r="E20" s="14">
        <f>E10-E19</f>
        <v/>
      </c>
    </row>
    <row r="22">
      <c r="A22" s="10" t="inlineStr">
        <is>
          <t>Non-Operating and Tax</t>
        </is>
      </c>
      <c r="B22" s="29" t="n"/>
      <c r="C22" s="29" t="n"/>
      <c r="D22" s="29" t="n"/>
      <c r="E22" s="30" t="n"/>
    </row>
    <row r="23">
      <c r="A23" s="11" t="inlineStr">
        <is>
          <t>Depreciation &amp; Amortization</t>
        </is>
      </c>
      <c r="B23" s="12" t="n">
        <v>2096</v>
      </c>
      <c r="C23" s="12" t="n">
        <v>2232</v>
      </c>
      <c r="D23" s="12" t="n">
        <v>2415</v>
      </c>
      <c r="E23" s="12" t="n">
        <v>200</v>
      </c>
    </row>
    <row r="24">
      <c r="A24" s="11" t="inlineStr">
        <is>
          <t>Operating Income (EBIT)</t>
        </is>
      </c>
      <c r="B24" s="15">
        <f>B20-B23</f>
        <v/>
      </c>
      <c r="C24" s="15">
        <f>C20-C23</f>
        <v/>
      </c>
      <c r="D24" s="15">
        <f>D20-D23</f>
        <v/>
      </c>
      <c r="E24" s="15">
        <f>E20-E23</f>
        <v/>
      </c>
    </row>
    <row r="25">
      <c r="A25" s="11" t="inlineStr">
        <is>
          <t>Interest Expense</t>
        </is>
      </c>
      <c r="B25" s="12" t="n">
        <v>820</v>
      </c>
      <c r="C25" s="12" t="n">
        <v>1002</v>
      </c>
      <c r="D25" s="12" t="n">
        <v>1207</v>
      </c>
      <c r="E25" s="12" t="n">
        <v>100</v>
      </c>
    </row>
    <row r="26">
      <c r="A26" s="11" t="inlineStr">
        <is>
          <t>Other Income/(Expense)</t>
        </is>
      </c>
      <c r="B26" s="12" t="n">
        <v>114</v>
      </c>
      <c r="C26" s="12" t="n">
        <v>82</v>
      </c>
      <c r="D26" s="12" t="n">
        <v>55</v>
      </c>
      <c r="E26" s="12" t="n">
        <v>5</v>
      </c>
    </row>
    <row r="27">
      <c r="A27" s="11" t="inlineStr">
        <is>
          <t>Pre-Tax Income</t>
        </is>
      </c>
      <c r="B27" s="15">
        <f>B24-B25+B26</f>
        <v/>
      </c>
      <c r="C27" s="15">
        <f>C24-C25+C26</f>
        <v/>
      </c>
      <c r="D27" s="15">
        <f>D24-D25+D26</f>
        <v/>
      </c>
      <c r="E27" s="15">
        <f>E24-E25+E26</f>
        <v/>
      </c>
    </row>
    <row r="28">
      <c r="A28" s="11" t="inlineStr">
        <is>
          <t>Income Tax Expense</t>
        </is>
      </c>
      <c r="B28" s="15">
        <f>IF(B27&gt;0,B27*Assumptions!$B$5,0)</f>
        <v/>
      </c>
      <c r="C28" s="15">
        <f>IF(C27&gt;0,C27*Assumptions!$B$5,0)</f>
        <v/>
      </c>
      <c r="D28" s="15">
        <f>IF(D27&gt;0,D27*Assumptions!$B$5,0)</f>
        <v/>
      </c>
      <c r="E28" s="15">
        <f>IF(E27&gt;0,E27*Assumptions!$B$5,0)</f>
        <v/>
      </c>
    </row>
    <row r="29">
      <c r="A29" s="13" t="inlineStr">
        <is>
          <t>Net Income</t>
        </is>
      </c>
      <c r="B29" s="14">
        <f>B27-B28</f>
        <v/>
      </c>
      <c r="C29" s="14">
        <f>C27-C28</f>
        <v/>
      </c>
      <c r="D29" s="14">
        <f>D27-D28</f>
        <v/>
      </c>
      <c r="E29" s="14">
        <f>E27-E28</f>
        <v/>
      </c>
    </row>
  </sheetData>
  <autoFilter ref="A4:E29"/>
  <mergeCells count="5">
    <mergeCell ref="A12:E12"/>
    <mergeCell ref="A2:E2"/>
    <mergeCell ref="A1:E1"/>
    <mergeCell ref="A6:E6"/>
    <mergeCell ref="A22:E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Cash Flow Statement</t>
        </is>
      </c>
    </row>
    <row r="2">
      <c r="A2" s="2" t="inlineStr">
        <is>
          <t>Historical and YTD cash movement (USD $000)</t>
        </is>
      </c>
    </row>
    <row r="4">
      <c r="A4" s="3" t="inlineStr">
        <is>
          <t>Line Item</t>
        </is>
      </c>
      <c r="B4" s="3" t="inlineStr">
        <is>
          <t>2023A</t>
        </is>
      </c>
      <c r="C4" s="3" t="inlineStr">
        <is>
          <t>2024A</t>
        </is>
      </c>
      <c r="D4" s="3" t="inlineStr">
        <is>
          <t>2025A</t>
        </is>
      </c>
      <c r="E4" s="3" t="inlineStr">
        <is>
          <t>2026 YTD (Jan)</t>
        </is>
      </c>
    </row>
    <row r="6">
      <c r="A6" s="10" t="inlineStr">
        <is>
          <t>Operating Activities</t>
        </is>
      </c>
      <c r="B6" s="29" t="n"/>
      <c r="C6" s="29" t="n"/>
      <c r="D6" s="29" t="n"/>
      <c r="E6" s="30" t="n"/>
    </row>
    <row r="7">
      <c r="A7" s="11" t="inlineStr">
        <is>
          <t>Net Income</t>
        </is>
      </c>
      <c r="B7" s="15">
        <f>'P&amp;L'!B29</f>
        <v/>
      </c>
      <c r="C7" s="15">
        <f>'P&amp;L'!C29</f>
        <v/>
      </c>
      <c r="D7" s="15">
        <f>'P&amp;L'!D29</f>
        <v/>
      </c>
      <c r="E7" s="15">
        <f>'P&amp;L'!E29</f>
        <v/>
      </c>
    </row>
    <row r="8">
      <c r="A8" s="11" t="inlineStr">
        <is>
          <t>Depreciation &amp; Amortization</t>
        </is>
      </c>
      <c r="B8" s="15">
        <f>'P&amp;L'!B23</f>
        <v/>
      </c>
      <c r="C8" s="15">
        <f>'P&amp;L'!C23</f>
        <v/>
      </c>
      <c r="D8" s="15">
        <f>'P&amp;L'!D23</f>
        <v/>
      </c>
      <c r="E8" s="15">
        <f>'P&amp;L'!E23</f>
        <v/>
      </c>
    </row>
    <row r="9">
      <c r="A9" s="11" t="inlineStr">
        <is>
          <t>Change in Accounts Receivable</t>
        </is>
      </c>
      <c r="B9" s="12" t="n">
        <v>-683</v>
      </c>
      <c r="C9" s="12" t="n">
        <v>-866</v>
      </c>
      <c r="D9" s="12" t="n">
        <v>-1048</v>
      </c>
      <c r="E9" s="12" t="n">
        <v>-501</v>
      </c>
    </row>
    <row r="10">
      <c r="A10" s="11" t="inlineStr">
        <is>
          <t>Change in Inventory</t>
        </is>
      </c>
      <c r="B10" s="12" t="n">
        <v>-137</v>
      </c>
      <c r="C10" s="12" t="n">
        <v>-182</v>
      </c>
      <c r="D10" s="12" t="n">
        <v>-228</v>
      </c>
      <c r="E10" s="12" t="n">
        <v>-91</v>
      </c>
    </row>
    <row r="11">
      <c r="A11" s="11" t="inlineStr">
        <is>
          <t>Change in Accounts Payable</t>
        </is>
      </c>
      <c r="B11" s="12" t="n">
        <v>547</v>
      </c>
      <c r="C11" s="12" t="n">
        <v>683</v>
      </c>
      <c r="D11" s="12" t="n">
        <v>638</v>
      </c>
      <c r="E11" s="12" t="n">
        <v>228</v>
      </c>
    </row>
    <row r="12">
      <c r="A12" s="11" t="inlineStr">
        <is>
          <t>Other Working Capital Changes</t>
        </is>
      </c>
      <c r="B12" s="12" t="n">
        <v>182</v>
      </c>
      <c r="C12" s="12" t="n">
        <v>137</v>
      </c>
      <c r="D12" s="12" t="n">
        <v>91</v>
      </c>
      <c r="E12" s="12" t="n">
        <v>46</v>
      </c>
    </row>
    <row r="13">
      <c r="A13" s="13" t="inlineStr">
        <is>
          <t>Net Cash from Operating Activities</t>
        </is>
      </c>
      <c r="B13" s="14">
        <f>SUM(B7:B12)</f>
        <v/>
      </c>
      <c r="C13" s="14">
        <f>SUM(C7:C12)</f>
        <v/>
      </c>
      <c r="D13" s="14">
        <f>SUM(D7:D12)</f>
        <v/>
      </c>
      <c r="E13" s="14">
        <f>SUM(E7:E12)</f>
        <v/>
      </c>
    </row>
    <row r="15">
      <c r="A15" s="10" t="inlineStr">
        <is>
          <t>Investing Activities</t>
        </is>
      </c>
      <c r="B15" s="29" t="n"/>
      <c r="C15" s="29" t="n"/>
      <c r="D15" s="29" t="n"/>
      <c r="E15" s="30" t="n"/>
    </row>
    <row r="16">
      <c r="A16" s="11" t="inlineStr">
        <is>
          <t>Capital Expenditures</t>
        </is>
      </c>
      <c r="B16" s="12" t="n">
        <v>-4191</v>
      </c>
      <c r="C16" s="12" t="n">
        <v>-4692</v>
      </c>
      <c r="D16" s="12" t="n">
        <v>-5421</v>
      </c>
      <c r="E16" s="12" t="n">
        <v>-433</v>
      </c>
    </row>
    <row r="17">
      <c r="A17" s="11" t="inlineStr">
        <is>
          <t>Acquisitions</t>
        </is>
      </c>
      <c r="B17" s="12" t="n">
        <v>-683</v>
      </c>
      <c r="C17" s="12" t="n">
        <v>-911</v>
      </c>
      <c r="D17" s="12" t="n">
        <v>-547</v>
      </c>
      <c r="E17" s="12" t="n">
        <v>0</v>
      </c>
    </row>
    <row r="18">
      <c r="A18" s="11" t="inlineStr">
        <is>
          <t>Asset Sales</t>
        </is>
      </c>
      <c r="B18" s="12" t="n">
        <v>273</v>
      </c>
      <c r="C18" s="12" t="n">
        <v>387</v>
      </c>
      <c r="D18" s="12" t="n">
        <v>319</v>
      </c>
      <c r="E18" s="12" t="n">
        <v>0</v>
      </c>
    </row>
    <row r="19">
      <c r="A19" s="13" t="inlineStr">
        <is>
          <t>Net Cash from Investing Activities</t>
        </is>
      </c>
      <c r="B19" s="14">
        <f>SUM(B16:B18)</f>
        <v/>
      </c>
      <c r="C19" s="14">
        <f>SUM(C16:C18)</f>
        <v/>
      </c>
      <c r="D19" s="14">
        <f>SUM(D16:D18)</f>
        <v/>
      </c>
      <c r="E19" s="14">
        <f>SUM(E16:E18)</f>
        <v/>
      </c>
    </row>
    <row r="21">
      <c r="A21" s="10" t="inlineStr">
        <is>
          <t>Financing Activities</t>
        </is>
      </c>
      <c r="B21" s="29" t="n"/>
      <c r="C21" s="29" t="n"/>
      <c r="D21" s="29" t="n"/>
      <c r="E21" s="30" t="n"/>
    </row>
    <row r="22">
      <c r="A22" s="11" t="inlineStr">
        <is>
          <t>Debt Proceeds</t>
        </is>
      </c>
      <c r="B22" s="12" t="n">
        <v>2187</v>
      </c>
      <c r="C22" s="12" t="n">
        <v>2961</v>
      </c>
      <c r="D22" s="12" t="n">
        <v>3736</v>
      </c>
      <c r="E22" s="12" t="n">
        <v>820</v>
      </c>
    </row>
    <row r="23">
      <c r="A23" s="11" t="inlineStr">
        <is>
          <t>Debt Repayments</t>
        </is>
      </c>
      <c r="B23" s="12" t="n">
        <v>-1230</v>
      </c>
      <c r="C23" s="12" t="n">
        <v>-1595</v>
      </c>
      <c r="D23" s="12" t="n">
        <v>-1913</v>
      </c>
      <c r="E23" s="12" t="n">
        <v>-137</v>
      </c>
    </row>
    <row r="24">
      <c r="A24" s="11" t="inlineStr">
        <is>
          <t>Lease Principal Payments</t>
        </is>
      </c>
      <c r="B24" s="12" t="n">
        <v>-866</v>
      </c>
      <c r="C24" s="12" t="n">
        <v>-1002</v>
      </c>
      <c r="D24" s="12" t="n">
        <v>-1093</v>
      </c>
      <c r="E24" s="12" t="n">
        <v>-91</v>
      </c>
    </row>
    <row r="25">
      <c r="A25" s="11" t="inlineStr">
        <is>
          <t>Dividends Paid</t>
        </is>
      </c>
      <c r="B25" s="12" t="n">
        <v>-638</v>
      </c>
      <c r="C25" s="12" t="n">
        <v>-774</v>
      </c>
      <c r="D25" s="12" t="n">
        <v>-911</v>
      </c>
      <c r="E25" s="12" t="n">
        <v>0</v>
      </c>
    </row>
    <row r="26">
      <c r="A26" s="13" t="inlineStr">
        <is>
          <t>Net Cash from Financing Activities</t>
        </is>
      </c>
      <c r="B26" s="14">
        <f>SUM(B22:B25)</f>
        <v/>
      </c>
      <c r="C26" s="14">
        <f>SUM(C22:C25)</f>
        <v/>
      </c>
      <c r="D26" s="14">
        <f>SUM(D22:D25)</f>
        <v/>
      </c>
      <c r="E26" s="14">
        <f>SUM(E22:E25)</f>
        <v/>
      </c>
    </row>
    <row r="27">
      <c r="A27" s="13" t="inlineStr">
        <is>
          <t>Net Change in Cash</t>
        </is>
      </c>
      <c r="B27" s="14">
        <f>B13+B19+B26</f>
        <v/>
      </c>
      <c r="C27" s="14">
        <f>C13+C19+C26</f>
        <v/>
      </c>
      <c r="D27" s="14">
        <f>D13+D19+D26</f>
        <v/>
      </c>
      <c r="E27" s="14">
        <f>E13+E19+E26</f>
        <v/>
      </c>
    </row>
    <row r="28">
      <c r="A28" s="11" t="inlineStr">
        <is>
          <t>Beginning Cash Balance</t>
        </is>
      </c>
      <c r="B28" s="12" t="n">
        <v>7289</v>
      </c>
      <c r="C28" s="15">
        <f>B29</f>
        <v/>
      </c>
      <c r="D28" s="15">
        <f>C29</f>
        <v/>
      </c>
      <c r="E28" s="15">
        <f>D29</f>
        <v/>
      </c>
    </row>
    <row r="29">
      <c r="A29" s="13" t="inlineStr">
        <is>
          <t>Ending Cash Balance</t>
        </is>
      </c>
      <c r="B29" s="14">
        <f>B28+B27</f>
        <v/>
      </c>
      <c r="C29" s="14">
        <f>C28+C27</f>
        <v/>
      </c>
      <c r="D29" s="14">
        <f>D28+D27</f>
        <v/>
      </c>
      <c r="E29" s="14">
        <f>E28+E27</f>
        <v/>
      </c>
    </row>
  </sheetData>
  <autoFilter ref="A4:E30"/>
  <mergeCells count="5">
    <mergeCell ref="A21:E21"/>
    <mergeCell ref="A2:E2"/>
    <mergeCell ref="A15:E15"/>
    <mergeCell ref="A1:E1"/>
    <mergeCell ref="A6:E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Balance Sheet</t>
        </is>
      </c>
    </row>
    <row r="2">
      <c r="A2" s="2" t="inlineStr">
        <is>
          <t>Historical and YTD position (USD $000)</t>
        </is>
      </c>
    </row>
    <row r="4">
      <c r="A4" s="3" t="inlineStr">
        <is>
          <t>Line Item</t>
        </is>
      </c>
      <c r="B4" s="3" t="inlineStr">
        <is>
          <t>2023A</t>
        </is>
      </c>
      <c r="C4" s="3" t="inlineStr">
        <is>
          <t>2024A</t>
        </is>
      </c>
      <c r="D4" s="3" t="inlineStr">
        <is>
          <t>2025A</t>
        </is>
      </c>
      <c r="E4" s="3" t="inlineStr">
        <is>
          <t>2026 YTD (Jan)</t>
        </is>
      </c>
    </row>
    <row r="6">
      <c r="A6" s="10" t="inlineStr">
        <is>
          <t>Assets</t>
        </is>
      </c>
      <c r="B6" s="29" t="n"/>
      <c r="C6" s="29" t="n"/>
      <c r="D6" s="29" t="n"/>
      <c r="E6" s="30" t="n"/>
    </row>
    <row r="7">
      <c r="A7" s="11" t="inlineStr">
        <is>
          <t>Cash &amp; Equivalents</t>
        </is>
      </c>
      <c r="B7" s="15">
        <f>Cash_Flow!B30</f>
        <v/>
      </c>
      <c r="C7" s="15">
        <f>Cash_Flow!C30</f>
        <v/>
      </c>
      <c r="D7" s="15">
        <f>Cash_Flow!D30</f>
        <v/>
      </c>
      <c r="E7" s="15">
        <f>Cash_Flow!E30</f>
        <v/>
      </c>
    </row>
    <row r="8">
      <c r="A8" s="11" t="inlineStr">
        <is>
          <t>Accounts Receivable</t>
        </is>
      </c>
      <c r="B8" s="12" t="n">
        <v>9339</v>
      </c>
      <c r="C8" s="12" t="n">
        <v>10205</v>
      </c>
      <c r="D8" s="12" t="n">
        <v>11253</v>
      </c>
      <c r="E8" s="12" t="n">
        <v>11754</v>
      </c>
    </row>
    <row r="9">
      <c r="A9" s="11" t="inlineStr">
        <is>
          <t>Inventory</t>
        </is>
      </c>
      <c r="B9" s="12" t="n">
        <v>1868</v>
      </c>
      <c r="C9" s="12" t="n">
        <v>2050</v>
      </c>
      <c r="D9" s="12" t="n">
        <v>2278</v>
      </c>
      <c r="E9" s="12" t="n">
        <v>2369</v>
      </c>
    </row>
    <row r="10">
      <c r="A10" s="11" t="inlineStr">
        <is>
          <t>Prepaid Expenses</t>
        </is>
      </c>
      <c r="B10" s="12" t="n">
        <v>820</v>
      </c>
      <c r="C10" s="12" t="n">
        <v>866</v>
      </c>
      <c r="D10" s="12" t="n">
        <v>957</v>
      </c>
      <c r="E10" s="12" t="n">
        <v>1002</v>
      </c>
    </row>
    <row r="11">
      <c r="A11" s="13" t="inlineStr">
        <is>
          <t>Total Current Assets</t>
        </is>
      </c>
      <c r="B11" s="14">
        <f>SUM(B7:B10)</f>
        <v/>
      </c>
      <c r="C11" s="14">
        <f>SUM(C7:C10)</f>
        <v/>
      </c>
      <c r="D11" s="14">
        <f>SUM(D7:D10)</f>
        <v/>
      </c>
      <c r="E11" s="14">
        <f>SUM(E7:E10)</f>
        <v/>
      </c>
    </row>
    <row r="12">
      <c r="A12" s="11" t="inlineStr">
        <is>
          <t>Property, Plant &amp; Equipment (Net)</t>
        </is>
      </c>
      <c r="B12" s="12" t="n">
        <v>23235</v>
      </c>
      <c r="C12" s="12" t="n">
        <v>24966</v>
      </c>
      <c r="D12" s="12" t="n">
        <v>26970</v>
      </c>
      <c r="E12" s="12" t="n">
        <v>27380</v>
      </c>
    </row>
    <row r="13">
      <c r="A13" s="11" t="inlineStr">
        <is>
          <t>Right-of-Use Assets</t>
        </is>
      </c>
      <c r="B13" s="12" t="n">
        <v>5103</v>
      </c>
      <c r="C13" s="12" t="n">
        <v>4784</v>
      </c>
      <c r="D13" s="12" t="n">
        <v>4465</v>
      </c>
      <c r="E13" s="12" t="n">
        <v>4374</v>
      </c>
    </row>
    <row r="14">
      <c r="A14" s="11" t="inlineStr">
        <is>
          <t>Intangible Assets</t>
        </is>
      </c>
      <c r="B14" s="12" t="n">
        <v>3462</v>
      </c>
      <c r="C14" s="12" t="n">
        <v>3280</v>
      </c>
      <c r="D14" s="12" t="n">
        <v>3144</v>
      </c>
      <c r="E14" s="12" t="n">
        <v>3098</v>
      </c>
    </row>
    <row r="15">
      <c r="A15" s="11" t="inlineStr">
        <is>
          <t>Other Non-Current Assets</t>
        </is>
      </c>
      <c r="B15" s="12" t="n">
        <v>1321</v>
      </c>
      <c r="C15" s="12" t="n">
        <v>1412</v>
      </c>
      <c r="D15" s="12" t="n">
        <v>1503</v>
      </c>
      <c r="E15" s="12" t="n">
        <v>1549</v>
      </c>
    </row>
    <row r="16">
      <c r="A16" s="13" t="inlineStr">
        <is>
          <t>Total Assets</t>
        </is>
      </c>
      <c r="B16" s="14">
        <f>B11+SUM(B12:B15)</f>
        <v/>
      </c>
      <c r="C16" s="14">
        <f>C11+SUM(C12:C15)</f>
        <v/>
      </c>
      <c r="D16" s="14">
        <f>D11+SUM(D12:D15)</f>
        <v/>
      </c>
      <c r="E16" s="14">
        <f>E11+SUM(E12:E15)</f>
        <v/>
      </c>
    </row>
    <row r="18">
      <c r="A18" s="10" t="inlineStr">
        <is>
          <t>Liabilities &amp; Equity</t>
        </is>
      </c>
      <c r="B18" s="29" t="n"/>
      <c r="C18" s="29" t="n"/>
      <c r="D18" s="29" t="n"/>
      <c r="E18" s="30" t="n"/>
    </row>
    <row r="19">
      <c r="A19" s="11" t="inlineStr">
        <is>
          <t>Accounts Payable</t>
        </is>
      </c>
      <c r="B19" s="12" t="n">
        <v>6925</v>
      </c>
      <c r="C19" s="12" t="n">
        <v>7608</v>
      </c>
      <c r="D19" s="12" t="n">
        <v>8246</v>
      </c>
      <c r="E19" s="12" t="n">
        <v>8474</v>
      </c>
    </row>
    <row r="20">
      <c r="A20" s="11" t="inlineStr">
        <is>
          <t>Accrued Expenses</t>
        </is>
      </c>
      <c r="B20" s="12" t="n">
        <v>4465</v>
      </c>
      <c r="C20" s="12" t="n">
        <v>4829</v>
      </c>
      <c r="D20" s="12" t="n">
        <v>5194</v>
      </c>
      <c r="E20" s="12" t="n">
        <v>5421</v>
      </c>
    </row>
    <row r="21">
      <c r="A21" s="11" t="inlineStr">
        <is>
          <t>Current Portion of Long-Term Debt</t>
        </is>
      </c>
      <c r="B21" s="12" t="n">
        <v>1640</v>
      </c>
      <c r="C21" s="12" t="n">
        <v>1913</v>
      </c>
      <c r="D21" s="12" t="n">
        <v>2187</v>
      </c>
      <c r="E21" s="12" t="n">
        <v>2278</v>
      </c>
    </row>
    <row r="22">
      <c r="A22" s="11" t="inlineStr">
        <is>
          <t>Operating Lease Liabilities (Current)</t>
        </is>
      </c>
      <c r="B22" s="12" t="n">
        <v>957</v>
      </c>
      <c r="C22" s="12" t="n">
        <v>1002</v>
      </c>
      <c r="D22" s="12" t="n">
        <v>1048</v>
      </c>
      <c r="E22" s="12" t="n">
        <v>1048</v>
      </c>
    </row>
    <row r="23">
      <c r="A23" s="13" t="inlineStr">
        <is>
          <t>Total Current Liabilities</t>
        </is>
      </c>
      <c r="B23" s="14">
        <f>SUM(B19:B22)</f>
        <v/>
      </c>
      <c r="C23" s="14">
        <f>SUM(C19:C22)</f>
        <v/>
      </c>
      <c r="D23" s="14">
        <f>SUM(D19:D22)</f>
        <v/>
      </c>
      <c r="E23" s="14">
        <f>SUM(E19:E22)</f>
        <v/>
      </c>
    </row>
    <row r="24">
      <c r="A24" s="11" t="inlineStr">
        <is>
          <t>Long-Term Debt</t>
        </is>
      </c>
      <c r="B24" s="12" t="n">
        <v>10387</v>
      </c>
      <c r="C24" s="12" t="n">
        <v>11481</v>
      </c>
      <c r="D24" s="12" t="n">
        <v>12711</v>
      </c>
      <c r="E24" s="12" t="n">
        <v>13257</v>
      </c>
    </row>
    <row r="25">
      <c r="A25" s="11" t="inlineStr">
        <is>
          <t>Operating Lease Liabilities (Non-Current)</t>
        </is>
      </c>
      <c r="B25" s="12" t="n">
        <v>3964</v>
      </c>
      <c r="C25" s="12" t="n">
        <v>3599</v>
      </c>
      <c r="D25" s="12" t="n">
        <v>3235</v>
      </c>
      <c r="E25" s="12" t="n">
        <v>3144</v>
      </c>
    </row>
    <row r="26">
      <c r="A26" s="11" t="inlineStr">
        <is>
          <t>Deferred Tax Liabilities</t>
        </is>
      </c>
      <c r="B26" s="12" t="n">
        <v>820</v>
      </c>
      <c r="C26" s="12" t="n">
        <v>866</v>
      </c>
      <c r="D26" s="12" t="n">
        <v>957</v>
      </c>
      <c r="E26" s="12" t="n">
        <v>1002</v>
      </c>
    </row>
    <row r="27">
      <c r="A27" s="13" t="inlineStr">
        <is>
          <t>Total Liabilities</t>
        </is>
      </c>
      <c r="B27" s="14">
        <f>B23+SUM(B24:B26)</f>
        <v/>
      </c>
      <c r="C27" s="14">
        <f>C23+SUM(C24:C26)</f>
        <v/>
      </c>
      <c r="D27" s="14">
        <f>D23+SUM(D24:D26)</f>
        <v/>
      </c>
      <c r="E27" s="14">
        <f>E23+SUM(E24:E26)</f>
        <v/>
      </c>
    </row>
    <row r="28">
      <c r="A28" s="11" t="inlineStr">
        <is>
          <t>Common Stock</t>
        </is>
      </c>
      <c r="B28" s="12" t="n">
        <v>4100</v>
      </c>
      <c r="C28" s="12" t="n">
        <v>4100</v>
      </c>
      <c r="D28" s="12" t="n">
        <v>4100</v>
      </c>
      <c r="E28" s="12" t="n">
        <v>4100</v>
      </c>
    </row>
    <row r="29">
      <c r="A29" s="11" t="inlineStr">
        <is>
          <t>Retained Earnings (Plug)</t>
        </is>
      </c>
      <c r="B29" s="15">
        <f>B16-B27-B28-B30</f>
        <v/>
      </c>
      <c r="C29" s="15">
        <f>C16-C27-C28-C30</f>
        <v/>
      </c>
      <c r="D29" s="15">
        <f>D16-D27-D28-D30</f>
        <v/>
      </c>
      <c r="E29" s="15">
        <f>E16-E27-E28-E30</f>
        <v/>
      </c>
    </row>
    <row r="30">
      <c r="A30" s="11" t="inlineStr">
        <is>
          <t>Accumulated OCI</t>
        </is>
      </c>
      <c r="B30" s="12" t="n">
        <v>-273</v>
      </c>
      <c r="C30" s="12" t="n">
        <v>-205</v>
      </c>
      <c r="D30" s="12" t="n">
        <v>-146</v>
      </c>
      <c r="E30" s="12" t="n">
        <v>-137</v>
      </c>
    </row>
    <row r="31">
      <c r="A31" s="13" t="inlineStr">
        <is>
          <t>Total Equity</t>
        </is>
      </c>
      <c r="B31" s="14">
        <f>B28+B29+B30</f>
        <v/>
      </c>
      <c r="C31" s="14">
        <f>C28+C29+C30</f>
        <v/>
      </c>
      <c r="D31" s="14">
        <f>D28+D29+D30</f>
        <v/>
      </c>
      <c r="E31" s="14">
        <f>E28+E29+E30</f>
        <v/>
      </c>
    </row>
    <row r="32">
      <c r="A32" s="13" t="inlineStr">
        <is>
          <t>Total Liabilities &amp; Equity</t>
        </is>
      </c>
      <c r="B32" s="14">
        <f>B27+B31</f>
        <v/>
      </c>
      <c r="C32" s="14">
        <f>C27+C31</f>
        <v/>
      </c>
      <c r="D32" s="14">
        <f>D27+D31</f>
        <v/>
      </c>
      <c r="E32" s="14">
        <f>E27+E31</f>
        <v/>
      </c>
    </row>
    <row r="33">
      <c r="A33" s="16" t="inlineStr">
        <is>
          <t>Balance Check (should be 0)</t>
        </is>
      </c>
      <c r="B33" s="17">
        <f>B16-B32</f>
        <v/>
      </c>
      <c r="C33" s="17">
        <f>C16-C32</f>
        <v/>
      </c>
      <c r="D33" s="17">
        <f>D16-D32</f>
        <v/>
      </c>
      <c r="E33" s="17">
        <f>E16-E32</f>
        <v/>
      </c>
    </row>
  </sheetData>
  <autoFilter ref="A4:E33"/>
  <mergeCells count="4">
    <mergeCell ref="A2:E2"/>
    <mergeCell ref="A6:E6"/>
    <mergeCell ref="A1:E1"/>
    <mergeCell ref="A18:E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6" customWidth="1" min="3" max="3"/>
    <col width="18" customWidth="1" min="4" max="4"/>
    <col width="16" customWidth="1" min="5" max="5"/>
    <col width="14" customWidth="1" min="6" max="6"/>
    <col width="14" customWidth="1" min="7" max="7"/>
    <col width="14" customWidth="1" min="8" max="8"/>
    <col width="20" customWidth="1" min="9" max="9"/>
    <col width="44" customWidth="1" min="10" max="10"/>
  </cols>
  <sheetData>
    <row r="1">
      <c r="A1" s="1" t="inlineStr">
        <is>
          <t>Business Bank Statements (Last 12 Months)</t>
        </is>
      </c>
    </row>
    <row r="2">
      <c r="A2" s="2" t="inlineStr">
        <is>
          <t>Monthly statement summary across operating and payroll accounts (USD $000)</t>
        </is>
      </c>
    </row>
    <row r="4">
      <c r="A4" s="3" t="inlineStr">
        <is>
          <t>Statement Month End</t>
        </is>
      </c>
      <c r="B4" s="3" t="inlineStr">
        <is>
          <t>Bank Name</t>
        </is>
      </c>
      <c r="C4" s="3" t="inlineStr">
        <is>
          <t>Account</t>
        </is>
      </c>
      <c r="D4" s="3" t="inlineStr">
        <is>
          <t>Masked Account #</t>
        </is>
      </c>
      <c r="E4" s="3" t="inlineStr">
        <is>
          <t>Beginning Balance</t>
        </is>
      </c>
      <c r="F4" s="3" t="inlineStr">
        <is>
          <t>Total Credits</t>
        </is>
      </c>
      <c r="G4" s="3" t="inlineStr">
        <is>
          <t>Total Debits</t>
        </is>
      </c>
      <c r="H4" s="3" t="inlineStr">
        <is>
          <t>Ending Balance</t>
        </is>
      </c>
      <c r="I4" s="3" t="inlineStr">
        <is>
          <t>Average Ledger Balance</t>
        </is>
      </c>
      <c r="J4" s="3" t="inlineStr">
        <is>
          <t>Source URL</t>
        </is>
      </c>
    </row>
    <row r="5">
      <c r="A5" s="18" t="n">
        <v>45716</v>
      </c>
      <c r="B5" s="11" t="inlineStr">
        <is>
          <t>JPMorgan Chase</t>
        </is>
      </c>
      <c r="C5" s="11" t="inlineStr">
        <is>
          <t>U.S. Operating</t>
        </is>
      </c>
      <c r="D5" s="11" t="inlineStr">
        <is>
          <t>****-1442</t>
        </is>
      </c>
      <c r="E5" s="19" t="n">
        <v>4032</v>
      </c>
      <c r="F5" s="19" t="n">
        <v>10412</v>
      </c>
      <c r="G5" s="19" t="n">
        <v>9852</v>
      </c>
      <c r="H5" s="19" t="n">
        <v>4592</v>
      </c>
      <c r="I5" s="19" t="n">
        <v>4345</v>
      </c>
      <c r="J5" s="11" t="inlineStr">
        <is>
          <t>https://www.frbservices.org</t>
        </is>
      </c>
    </row>
    <row r="6">
      <c r="A6" s="18" t="n">
        <v>45716</v>
      </c>
      <c r="B6" s="11" t="inlineStr">
        <is>
          <t>Deutsche Bank</t>
        </is>
      </c>
      <c r="C6" s="11" t="inlineStr">
        <is>
          <t>EU Operating</t>
        </is>
      </c>
      <c r="D6" s="11" t="inlineStr">
        <is>
          <t>****-9921</t>
        </is>
      </c>
      <c r="E6" s="19" t="n">
        <v>2925</v>
      </c>
      <c r="F6" s="19" t="n">
        <v>7888</v>
      </c>
      <c r="G6" s="19" t="n">
        <v>7742</v>
      </c>
      <c r="H6" s="19" t="n">
        <v>3071</v>
      </c>
      <c r="I6" s="19" t="n">
        <v>2954</v>
      </c>
      <c r="J6" s="11" t="inlineStr">
        <is>
          <t>https://www.ecb.europa.eu/paym</t>
        </is>
      </c>
    </row>
    <row r="7">
      <c r="A7" s="18" t="n">
        <v>45716</v>
      </c>
      <c r="B7" s="11" t="inlineStr">
        <is>
          <t>HSBC</t>
        </is>
      </c>
      <c r="C7" s="11" t="inlineStr">
        <is>
          <t>Payroll Clearing</t>
        </is>
      </c>
      <c r="D7" s="11" t="inlineStr">
        <is>
          <t>****-5510</t>
        </is>
      </c>
      <c r="E7" s="19" t="n">
        <v>565</v>
      </c>
      <c r="F7" s="19" t="n">
        <v>2333</v>
      </c>
      <c r="G7" s="19" t="n">
        <v>1699</v>
      </c>
      <c r="H7" s="19" t="n">
        <v>1199</v>
      </c>
      <c r="I7" s="19" t="n">
        <v>943</v>
      </c>
      <c r="J7" s="11" t="inlineStr">
        <is>
          <t>https://www.bis.org</t>
        </is>
      </c>
    </row>
    <row r="8">
      <c r="A8" s="18" t="n">
        <v>45747</v>
      </c>
      <c r="B8" s="11" t="inlineStr">
        <is>
          <t>JPMorgan Chase</t>
        </is>
      </c>
      <c r="C8" s="11" t="inlineStr">
        <is>
          <t>U.S. Operating</t>
        </is>
      </c>
      <c r="D8" s="11" t="inlineStr">
        <is>
          <t>****-1442</t>
        </is>
      </c>
      <c r="E8" s="19" t="n">
        <v>4592</v>
      </c>
      <c r="F8" s="19" t="n">
        <v>10188</v>
      </c>
      <c r="G8" s="19" t="n">
        <v>9620</v>
      </c>
      <c r="H8" s="19" t="n">
        <v>5160</v>
      </c>
      <c r="I8" s="19" t="n">
        <v>4830</v>
      </c>
      <c r="J8" s="11" t="inlineStr">
        <is>
          <t>https://www.frbservices.org</t>
        </is>
      </c>
    </row>
    <row r="9">
      <c r="A9" s="18" t="n">
        <v>45747</v>
      </c>
      <c r="B9" s="11" t="inlineStr">
        <is>
          <t>Deutsche Bank</t>
        </is>
      </c>
      <c r="C9" s="11" t="inlineStr">
        <is>
          <t>EU Operating</t>
        </is>
      </c>
      <c r="D9" s="11" t="inlineStr">
        <is>
          <t>****-9921</t>
        </is>
      </c>
      <c r="E9" s="19" t="n">
        <v>3071</v>
      </c>
      <c r="F9" s="19" t="n">
        <v>8678</v>
      </c>
      <c r="G9" s="19" t="n">
        <v>8450</v>
      </c>
      <c r="H9" s="19" t="n">
        <v>3299</v>
      </c>
      <c r="I9" s="19" t="n">
        <v>3134</v>
      </c>
      <c r="J9" s="11" t="inlineStr">
        <is>
          <t>https://www.ecb.europa.eu/paym</t>
        </is>
      </c>
    </row>
    <row r="10">
      <c r="A10" s="18" t="n">
        <v>45747</v>
      </c>
      <c r="B10" s="11" t="inlineStr">
        <is>
          <t>HSBC</t>
        </is>
      </c>
      <c r="C10" s="11" t="inlineStr">
        <is>
          <t>Payroll Clearing</t>
        </is>
      </c>
      <c r="D10" s="11" t="inlineStr">
        <is>
          <t>****-5510</t>
        </is>
      </c>
      <c r="E10" s="19" t="n">
        <v>1199</v>
      </c>
      <c r="F10" s="19" t="n">
        <v>2077</v>
      </c>
      <c r="G10" s="19" t="n">
        <v>1766</v>
      </c>
      <c r="H10" s="19" t="n">
        <v>1510</v>
      </c>
      <c r="I10" s="19" t="n">
        <v>1394</v>
      </c>
      <c r="J10" s="11" t="inlineStr">
        <is>
          <t>https://www.bis.org</t>
        </is>
      </c>
    </row>
    <row r="11">
      <c r="A11" s="18" t="n">
        <v>45777</v>
      </c>
      <c r="B11" s="11" t="inlineStr">
        <is>
          <t>JPMorgan Chase</t>
        </is>
      </c>
      <c r="C11" s="11" t="inlineStr">
        <is>
          <t>U.S. Operating</t>
        </is>
      </c>
      <c r="D11" s="11" t="inlineStr">
        <is>
          <t>****-1442</t>
        </is>
      </c>
      <c r="E11" s="19" t="n">
        <v>5160</v>
      </c>
      <c r="F11" s="19" t="n">
        <v>9870</v>
      </c>
      <c r="G11" s="19" t="n">
        <v>9797</v>
      </c>
      <c r="H11" s="19" t="n">
        <v>5233</v>
      </c>
      <c r="I11" s="19" t="n">
        <v>5185</v>
      </c>
      <c r="J11" s="11" t="inlineStr">
        <is>
          <t>https://www.frbservices.org</t>
        </is>
      </c>
    </row>
    <row r="12">
      <c r="A12" s="18" t="n">
        <v>45777</v>
      </c>
      <c r="B12" s="11" t="inlineStr">
        <is>
          <t>Deutsche Bank</t>
        </is>
      </c>
      <c r="C12" s="11" t="inlineStr">
        <is>
          <t>EU Operating</t>
        </is>
      </c>
      <c r="D12" s="11" t="inlineStr">
        <is>
          <t>****-9921</t>
        </is>
      </c>
      <c r="E12" s="19" t="n">
        <v>3299</v>
      </c>
      <c r="F12" s="19" t="n">
        <v>7916</v>
      </c>
      <c r="G12" s="19" t="n">
        <v>8406</v>
      </c>
      <c r="H12" s="19" t="n">
        <v>2809</v>
      </c>
      <c r="I12" s="19" t="n">
        <v>2998</v>
      </c>
      <c r="J12" s="11" t="inlineStr">
        <is>
          <t>https://www.ecb.europa.eu/paym</t>
        </is>
      </c>
    </row>
    <row r="13">
      <c r="A13" s="18" t="n">
        <v>45777</v>
      </c>
      <c r="B13" s="11" t="inlineStr">
        <is>
          <t>HSBC</t>
        </is>
      </c>
      <c r="C13" s="11" t="inlineStr">
        <is>
          <t>Payroll Clearing</t>
        </is>
      </c>
      <c r="D13" s="11" t="inlineStr">
        <is>
          <t>****-5510</t>
        </is>
      </c>
      <c r="E13" s="19" t="n">
        <v>1510</v>
      </c>
      <c r="F13" s="19" t="n">
        <v>2037</v>
      </c>
      <c r="G13" s="19" t="n">
        <v>1676</v>
      </c>
      <c r="H13" s="19" t="n">
        <v>1871</v>
      </c>
      <c r="I13" s="19" t="n">
        <v>1656</v>
      </c>
      <c r="J13" s="11" t="inlineStr">
        <is>
          <t>https://www.bis.org</t>
        </is>
      </c>
    </row>
    <row r="14">
      <c r="A14" s="18" t="n">
        <v>45808</v>
      </c>
      <c r="B14" s="11" t="inlineStr">
        <is>
          <t>JPMorgan Chase</t>
        </is>
      </c>
      <c r="C14" s="11" t="inlineStr">
        <is>
          <t>U.S. Operating</t>
        </is>
      </c>
      <c r="D14" s="11" t="inlineStr">
        <is>
          <t>****-1442</t>
        </is>
      </c>
      <c r="E14" s="19" t="n">
        <v>5233</v>
      </c>
      <c r="F14" s="19" t="n">
        <v>10342</v>
      </c>
      <c r="G14" s="19" t="n">
        <v>10402</v>
      </c>
      <c r="H14" s="19" t="n">
        <v>5173</v>
      </c>
      <c r="I14" s="19" t="n">
        <v>5171</v>
      </c>
      <c r="J14" s="11" t="inlineStr">
        <is>
          <t>https://www.frbservices.org</t>
        </is>
      </c>
    </row>
    <row r="15">
      <c r="A15" s="18" t="n">
        <v>45808</v>
      </c>
      <c r="B15" s="11" t="inlineStr">
        <is>
          <t>Deutsche Bank</t>
        </is>
      </c>
      <c r="C15" s="11" t="inlineStr">
        <is>
          <t>EU Operating</t>
        </is>
      </c>
      <c r="D15" s="11" t="inlineStr">
        <is>
          <t>****-9921</t>
        </is>
      </c>
      <c r="E15" s="19" t="n">
        <v>2809</v>
      </c>
      <c r="F15" s="19" t="n">
        <v>8031</v>
      </c>
      <c r="G15" s="19" t="n">
        <v>8225</v>
      </c>
      <c r="H15" s="19" t="n">
        <v>2615</v>
      </c>
      <c r="I15" s="19" t="n">
        <v>2690</v>
      </c>
      <c r="J15" s="11" t="inlineStr">
        <is>
          <t>https://www.ecb.europa.eu/paym</t>
        </is>
      </c>
    </row>
    <row r="16">
      <c r="A16" s="18" t="n">
        <v>45808</v>
      </c>
      <c r="B16" s="11" t="inlineStr">
        <is>
          <t>HSBC</t>
        </is>
      </c>
      <c r="C16" s="11" t="inlineStr">
        <is>
          <t>Payroll Clearing</t>
        </is>
      </c>
      <c r="D16" s="11" t="inlineStr">
        <is>
          <t>****-5510</t>
        </is>
      </c>
      <c r="E16" s="19" t="n">
        <v>1871</v>
      </c>
      <c r="F16" s="19" t="n">
        <v>1796</v>
      </c>
      <c r="G16" s="19" t="n">
        <v>1965</v>
      </c>
      <c r="H16" s="19" t="n">
        <v>1702</v>
      </c>
      <c r="I16" s="19" t="n">
        <v>1813</v>
      </c>
      <c r="J16" s="11" t="inlineStr">
        <is>
          <t>https://www.bis.org</t>
        </is>
      </c>
    </row>
    <row r="17">
      <c r="A17" s="18" t="n">
        <v>45838</v>
      </c>
      <c r="B17" s="11" t="inlineStr">
        <is>
          <t>JPMorgan Chase</t>
        </is>
      </c>
      <c r="C17" s="11" t="inlineStr">
        <is>
          <t>U.S. Operating</t>
        </is>
      </c>
      <c r="D17" s="11" t="inlineStr">
        <is>
          <t>****-1442</t>
        </is>
      </c>
      <c r="E17" s="19" t="n">
        <v>5173</v>
      </c>
      <c r="F17" s="19" t="n">
        <v>9948</v>
      </c>
      <c r="G17" s="19" t="n">
        <v>9672</v>
      </c>
      <c r="H17" s="19" t="n">
        <v>5449</v>
      </c>
      <c r="I17" s="19" t="n">
        <v>5258</v>
      </c>
      <c r="J17" s="11" t="inlineStr">
        <is>
          <t>https://www.frbservices.org</t>
        </is>
      </c>
    </row>
    <row r="18">
      <c r="A18" s="18" t="n">
        <v>45838</v>
      </c>
      <c r="B18" s="11" t="inlineStr">
        <is>
          <t>Deutsche Bank</t>
        </is>
      </c>
      <c r="C18" s="11" t="inlineStr">
        <is>
          <t>EU Operating</t>
        </is>
      </c>
      <c r="D18" s="11" t="inlineStr">
        <is>
          <t>****-9921</t>
        </is>
      </c>
      <c r="E18" s="19" t="n">
        <v>2615</v>
      </c>
      <c r="F18" s="19" t="n">
        <v>8211</v>
      </c>
      <c r="G18" s="19" t="n">
        <v>8610</v>
      </c>
      <c r="H18" s="19" t="n">
        <v>2216</v>
      </c>
      <c r="I18" s="19" t="n">
        <v>2483</v>
      </c>
      <c r="J18" s="11" t="inlineStr">
        <is>
          <t>https://www.ecb.europa.eu/paym</t>
        </is>
      </c>
    </row>
    <row r="19">
      <c r="A19" s="18" t="n">
        <v>45838</v>
      </c>
      <c r="B19" s="11" t="inlineStr">
        <is>
          <t>HSBC</t>
        </is>
      </c>
      <c r="C19" s="11" t="inlineStr">
        <is>
          <t>Payroll Clearing</t>
        </is>
      </c>
      <c r="D19" s="11" t="inlineStr">
        <is>
          <t>****-5510</t>
        </is>
      </c>
      <c r="E19" s="19" t="n">
        <v>1702</v>
      </c>
      <c r="F19" s="19" t="n">
        <v>2460</v>
      </c>
      <c r="G19" s="19" t="n">
        <v>2224</v>
      </c>
      <c r="H19" s="19" t="n">
        <v>1938</v>
      </c>
      <c r="I19" s="19" t="n">
        <v>1871</v>
      </c>
      <c r="J19" s="11" t="inlineStr">
        <is>
          <t>https://www.bis.org</t>
        </is>
      </c>
    </row>
    <row r="20">
      <c r="A20" s="18" t="n">
        <v>45869</v>
      </c>
      <c r="B20" s="11" t="inlineStr">
        <is>
          <t>JPMorgan Chase</t>
        </is>
      </c>
      <c r="C20" s="11" t="inlineStr">
        <is>
          <t>U.S. Operating</t>
        </is>
      </c>
      <c r="D20" s="11" t="inlineStr">
        <is>
          <t>****-1442</t>
        </is>
      </c>
      <c r="E20" s="19" t="n">
        <v>5449</v>
      </c>
      <c r="F20" s="19" t="n">
        <v>10677</v>
      </c>
      <c r="G20" s="19" t="n">
        <v>10284</v>
      </c>
      <c r="H20" s="19" t="n">
        <v>5842</v>
      </c>
      <c r="I20" s="19" t="n">
        <v>5653</v>
      </c>
      <c r="J20" s="11" t="inlineStr">
        <is>
          <t>https://www.frbservices.org</t>
        </is>
      </c>
    </row>
    <row r="21">
      <c r="A21" s="18" t="n">
        <v>45869</v>
      </c>
      <c r="B21" s="11" t="inlineStr">
        <is>
          <t>Deutsche Bank</t>
        </is>
      </c>
      <c r="C21" s="11" t="inlineStr">
        <is>
          <t>EU Operating</t>
        </is>
      </c>
      <c r="D21" s="11" t="inlineStr">
        <is>
          <t>****-9921</t>
        </is>
      </c>
      <c r="E21" s="19" t="n">
        <v>2216</v>
      </c>
      <c r="F21" s="19" t="n">
        <v>8298</v>
      </c>
      <c r="G21" s="19" t="n">
        <v>7962</v>
      </c>
      <c r="H21" s="19" t="n">
        <v>2552</v>
      </c>
      <c r="I21" s="19" t="n">
        <v>2378</v>
      </c>
      <c r="J21" s="11" t="inlineStr">
        <is>
          <t>https://www.ecb.europa.eu/paym</t>
        </is>
      </c>
    </row>
    <row r="22">
      <c r="A22" s="18" t="n">
        <v>45869</v>
      </c>
      <c r="B22" s="11" t="inlineStr">
        <is>
          <t>HSBC</t>
        </is>
      </c>
      <c r="C22" s="11" t="inlineStr">
        <is>
          <t>Payroll Clearing</t>
        </is>
      </c>
      <c r="D22" s="11" t="inlineStr">
        <is>
          <t>****-5510</t>
        </is>
      </c>
      <c r="E22" s="19" t="n">
        <v>1938</v>
      </c>
      <c r="F22" s="19" t="n">
        <v>1752</v>
      </c>
      <c r="G22" s="19" t="n">
        <v>2195</v>
      </c>
      <c r="H22" s="19" t="n">
        <v>1495</v>
      </c>
      <c r="I22" s="19" t="n">
        <v>1782</v>
      </c>
      <c r="J22" s="11" t="inlineStr">
        <is>
          <t>https://www.bis.org</t>
        </is>
      </c>
    </row>
    <row r="23">
      <c r="A23" s="18" t="n">
        <v>45900</v>
      </c>
      <c r="B23" s="11" t="inlineStr">
        <is>
          <t>JPMorgan Chase</t>
        </is>
      </c>
      <c r="C23" s="11" t="inlineStr">
        <is>
          <t>U.S. Operating</t>
        </is>
      </c>
      <c r="D23" s="11" t="inlineStr">
        <is>
          <t>****-1442</t>
        </is>
      </c>
      <c r="E23" s="19" t="n">
        <v>5842</v>
      </c>
      <c r="F23" s="19" t="n">
        <v>10762</v>
      </c>
      <c r="G23" s="19" t="n">
        <v>10247</v>
      </c>
      <c r="H23" s="19" t="n">
        <v>6357</v>
      </c>
      <c r="I23" s="19" t="n">
        <v>6145</v>
      </c>
      <c r="J23" s="11" t="inlineStr">
        <is>
          <t>https://www.frbservices.org</t>
        </is>
      </c>
    </row>
    <row r="24">
      <c r="A24" s="18" t="n">
        <v>45900</v>
      </c>
      <c r="B24" s="11" t="inlineStr">
        <is>
          <t>Deutsche Bank</t>
        </is>
      </c>
      <c r="C24" s="11" t="inlineStr">
        <is>
          <t>EU Operating</t>
        </is>
      </c>
      <c r="D24" s="11" t="inlineStr">
        <is>
          <t>****-9921</t>
        </is>
      </c>
      <c r="E24" s="19" t="n">
        <v>2552</v>
      </c>
      <c r="F24" s="19" t="n">
        <v>8379</v>
      </c>
      <c r="G24" s="19" t="n">
        <v>7743</v>
      </c>
      <c r="H24" s="19" t="n">
        <v>3188</v>
      </c>
      <c r="I24" s="19" t="n">
        <v>2832</v>
      </c>
      <c r="J24" s="11" t="inlineStr">
        <is>
          <t>https://www.ecb.europa.eu/paym</t>
        </is>
      </c>
    </row>
    <row r="25">
      <c r="A25" s="18" t="n">
        <v>45900</v>
      </c>
      <c r="B25" s="11" t="inlineStr">
        <is>
          <t>HSBC</t>
        </is>
      </c>
      <c r="C25" s="11" t="inlineStr">
        <is>
          <t>Payroll Clearing</t>
        </is>
      </c>
      <c r="D25" s="11" t="inlineStr">
        <is>
          <t>****-5510</t>
        </is>
      </c>
      <c r="E25" s="19" t="n">
        <v>1495</v>
      </c>
      <c r="F25" s="19" t="n">
        <v>2633</v>
      </c>
      <c r="G25" s="19" t="n">
        <v>2437</v>
      </c>
      <c r="H25" s="19" t="n">
        <v>1691</v>
      </c>
      <c r="I25" s="19" t="n">
        <v>1567</v>
      </c>
      <c r="J25" s="11" t="inlineStr">
        <is>
          <t>https://www.bis.org</t>
        </is>
      </c>
    </row>
    <row r="26">
      <c r="A26" s="18" t="n">
        <v>45930</v>
      </c>
      <c r="B26" s="11" t="inlineStr">
        <is>
          <t>JPMorgan Chase</t>
        </is>
      </c>
      <c r="C26" s="11" t="inlineStr">
        <is>
          <t>U.S. Operating</t>
        </is>
      </c>
      <c r="D26" s="11" t="inlineStr">
        <is>
          <t>****-1442</t>
        </is>
      </c>
      <c r="E26" s="19" t="n">
        <v>6357</v>
      </c>
      <c r="F26" s="19" t="n">
        <v>10449</v>
      </c>
      <c r="G26" s="19" t="n">
        <v>9855</v>
      </c>
      <c r="H26" s="19" t="n">
        <v>6951</v>
      </c>
      <c r="I26" s="19" t="n">
        <v>6711</v>
      </c>
      <c r="J26" s="11" t="inlineStr">
        <is>
          <t>https://www.frbservices.org</t>
        </is>
      </c>
    </row>
    <row r="27">
      <c r="A27" s="18" t="n">
        <v>45930</v>
      </c>
      <c r="B27" s="11" t="inlineStr">
        <is>
          <t>Deutsche Bank</t>
        </is>
      </c>
      <c r="C27" s="11" t="inlineStr">
        <is>
          <t>EU Operating</t>
        </is>
      </c>
      <c r="D27" s="11" t="inlineStr">
        <is>
          <t>****-9921</t>
        </is>
      </c>
      <c r="E27" s="19" t="n">
        <v>3188</v>
      </c>
      <c r="F27" s="19" t="n">
        <v>8653</v>
      </c>
      <c r="G27" s="19" t="n">
        <v>7674</v>
      </c>
      <c r="H27" s="19" t="n">
        <v>4167</v>
      </c>
      <c r="I27" s="19" t="n">
        <v>3628</v>
      </c>
      <c r="J27" s="11" t="inlineStr">
        <is>
          <t>https://www.ecb.europa.eu/paym</t>
        </is>
      </c>
    </row>
    <row r="28">
      <c r="A28" s="18" t="n">
        <v>45930</v>
      </c>
      <c r="B28" s="11" t="inlineStr">
        <is>
          <t>HSBC</t>
        </is>
      </c>
      <c r="C28" s="11" t="inlineStr">
        <is>
          <t>Payroll Clearing</t>
        </is>
      </c>
      <c r="D28" s="11" t="inlineStr">
        <is>
          <t>****-5510</t>
        </is>
      </c>
      <c r="E28" s="19" t="n">
        <v>1691</v>
      </c>
      <c r="F28" s="19" t="n">
        <v>2227</v>
      </c>
      <c r="G28" s="19" t="n">
        <v>2277</v>
      </c>
      <c r="H28" s="19" t="n">
        <v>1641</v>
      </c>
      <c r="I28" s="19" t="n">
        <v>1687</v>
      </c>
      <c r="J28" s="11" t="inlineStr">
        <is>
          <t>https://www.bis.org</t>
        </is>
      </c>
    </row>
    <row r="29">
      <c r="A29" s="18" t="n">
        <v>45961</v>
      </c>
      <c r="B29" s="11" t="inlineStr">
        <is>
          <t>JPMorgan Chase</t>
        </is>
      </c>
      <c r="C29" s="11" t="inlineStr">
        <is>
          <t>U.S. Operating</t>
        </is>
      </c>
      <c r="D29" s="11" t="inlineStr">
        <is>
          <t>****-1442</t>
        </is>
      </c>
      <c r="E29" s="19" t="n">
        <v>6951</v>
      </c>
      <c r="F29" s="19" t="n">
        <v>10766</v>
      </c>
      <c r="G29" s="19" t="n">
        <v>10478</v>
      </c>
      <c r="H29" s="19" t="n">
        <v>7239</v>
      </c>
      <c r="I29" s="19" t="n">
        <v>7044</v>
      </c>
      <c r="J29" s="11" t="inlineStr">
        <is>
          <t>https://www.frbservices.org</t>
        </is>
      </c>
    </row>
    <row r="30">
      <c r="A30" s="18" t="n">
        <v>45961</v>
      </c>
      <c r="B30" s="11" t="inlineStr">
        <is>
          <t>Deutsche Bank</t>
        </is>
      </c>
      <c r="C30" s="11" t="inlineStr">
        <is>
          <t>EU Operating</t>
        </is>
      </c>
      <c r="D30" s="11" t="inlineStr">
        <is>
          <t>****-9921</t>
        </is>
      </c>
      <c r="E30" s="19" t="n">
        <v>4167</v>
      </c>
      <c r="F30" s="19" t="n">
        <v>7981</v>
      </c>
      <c r="G30" s="19" t="n">
        <v>8146</v>
      </c>
      <c r="H30" s="19" t="n">
        <v>4002</v>
      </c>
      <c r="I30" s="19" t="n">
        <v>4137</v>
      </c>
      <c r="J30" s="11" t="inlineStr">
        <is>
          <t>https://www.ecb.europa.eu/paym</t>
        </is>
      </c>
    </row>
    <row r="31">
      <c r="A31" s="18" t="n">
        <v>45961</v>
      </c>
      <c r="B31" s="11" t="inlineStr">
        <is>
          <t>HSBC</t>
        </is>
      </c>
      <c r="C31" s="11" t="inlineStr">
        <is>
          <t>Payroll Clearing</t>
        </is>
      </c>
      <c r="D31" s="11" t="inlineStr">
        <is>
          <t>****-5510</t>
        </is>
      </c>
      <c r="E31" s="19" t="n">
        <v>1641</v>
      </c>
      <c r="F31" s="19" t="n">
        <v>1718</v>
      </c>
      <c r="G31" s="19" t="n">
        <v>1705</v>
      </c>
      <c r="H31" s="19" t="n">
        <v>1654</v>
      </c>
      <c r="I31" s="19" t="n">
        <v>1658</v>
      </c>
      <c r="J31" s="11" t="inlineStr">
        <is>
          <t>https://www.bis.org</t>
        </is>
      </c>
    </row>
    <row r="32">
      <c r="A32" s="18" t="n">
        <v>45991</v>
      </c>
      <c r="B32" s="11" t="inlineStr">
        <is>
          <t>JPMorgan Chase</t>
        </is>
      </c>
      <c r="C32" s="11" t="inlineStr">
        <is>
          <t>U.S. Operating</t>
        </is>
      </c>
      <c r="D32" s="11" t="inlineStr">
        <is>
          <t>****-1442</t>
        </is>
      </c>
      <c r="E32" s="19" t="n">
        <v>7239</v>
      </c>
      <c r="F32" s="19" t="n">
        <v>10661</v>
      </c>
      <c r="G32" s="19" t="n">
        <v>10126</v>
      </c>
      <c r="H32" s="19" t="n">
        <v>7774</v>
      </c>
      <c r="I32" s="19" t="n">
        <v>7536</v>
      </c>
      <c r="J32" s="11" t="inlineStr">
        <is>
          <t>https://www.frbservices.org</t>
        </is>
      </c>
    </row>
    <row r="33">
      <c r="A33" s="18" t="n">
        <v>45991</v>
      </c>
      <c r="B33" s="11" t="inlineStr">
        <is>
          <t>Deutsche Bank</t>
        </is>
      </c>
      <c r="C33" s="11" t="inlineStr">
        <is>
          <t>EU Operating</t>
        </is>
      </c>
      <c r="D33" s="11" t="inlineStr">
        <is>
          <t>****-9921</t>
        </is>
      </c>
      <c r="E33" s="19" t="n">
        <v>4002</v>
      </c>
      <c r="F33" s="19" t="n">
        <v>8500</v>
      </c>
      <c r="G33" s="19" t="n">
        <v>7640</v>
      </c>
      <c r="H33" s="19" t="n">
        <v>4862</v>
      </c>
      <c r="I33" s="19" t="n">
        <v>4482</v>
      </c>
      <c r="J33" s="11" t="inlineStr">
        <is>
          <t>https://www.ecb.europa.eu/paym</t>
        </is>
      </c>
    </row>
    <row r="34">
      <c r="A34" s="18" t="n">
        <v>45991</v>
      </c>
      <c r="B34" s="11" t="inlineStr">
        <is>
          <t>HSBC</t>
        </is>
      </c>
      <c r="C34" s="11" t="inlineStr">
        <is>
          <t>Payroll Clearing</t>
        </is>
      </c>
      <c r="D34" s="11" t="inlineStr">
        <is>
          <t>****-5510</t>
        </is>
      </c>
      <c r="E34" s="19" t="n">
        <v>1654</v>
      </c>
      <c r="F34" s="19" t="n">
        <v>2312</v>
      </c>
      <c r="G34" s="19" t="n">
        <v>1925</v>
      </c>
      <c r="H34" s="19" t="n">
        <v>2041</v>
      </c>
      <c r="I34" s="19" t="n">
        <v>1808</v>
      </c>
      <c r="J34" s="11" t="inlineStr">
        <is>
          <t>https://www.bis.org</t>
        </is>
      </c>
    </row>
    <row r="35">
      <c r="A35" s="18" t="n">
        <v>46022</v>
      </c>
      <c r="B35" s="11" t="inlineStr">
        <is>
          <t>JPMorgan Chase</t>
        </is>
      </c>
      <c r="C35" s="11" t="inlineStr">
        <is>
          <t>U.S. Operating</t>
        </is>
      </c>
      <c r="D35" s="11" t="inlineStr">
        <is>
          <t>****-1442</t>
        </is>
      </c>
      <c r="E35" s="19" t="n">
        <v>7774</v>
      </c>
      <c r="F35" s="19" t="n">
        <v>10760</v>
      </c>
      <c r="G35" s="19" t="n">
        <v>9664</v>
      </c>
      <c r="H35" s="19" t="n">
        <v>8870</v>
      </c>
      <c r="I35" s="19" t="n">
        <v>8309</v>
      </c>
      <c r="J35" s="11" t="inlineStr">
        <is>
          <t>https://www.frbservices.org</t>
        </is>
      </c>
    </row>
    <row r="36">
      <c r="A36" s="18" t="n">
        <v>46022</v>
      </c>
      <c r="B36" s="11" t="inlineStr">
        <is>
          <t>Deutsche Bank</t>
        </is>
      </c>
      <c r="C36" s="11" t="inlineStr">
        <is>
          <t>EU Operating</t>
        </is>
      </c>
      <c r="D36" s="11" t="inlineStr">
        <is>
          <t>****-9921</t>
        </is>
      </c>
      <c r="E36" s="19" t="n">
        <v>4862</v>
      </c>
      <c r="F36" s="19" t="n">
        <v>8378</v>
      </c>
      <c r="G36" s="19" t="n">
        <v>7858</v>
      </c>
      <c r="H36" s="19" t="n">
        <v>5382</v>
      </c>
      <c r="I36" s="19" t="n">
        <v>5117</v>
      </c>
      <c r="J36" s="11" t="inlineStr">
        <is>
          <t>https://www.ecb.europa.eu/paym</t>
        </is>
      </c>
    </row>
    <row r="37">
      <c r="A37" s="18" t="n">
        <v>46022</v>
      </c>
      <c r="B37" s="11" t="inlineStr">
        <is>
          <t>HSBC</t>
        </is>
      </c>
      <c r="C37" s="11" t="inlineStr">
        <is>
          <t>Payroll Clearing</t>
        </is>
      </c>
      <c r="D37" s="11" t="inlineStr">
        <is>
          <t>****-5510</t>
        </is>
      </c>
      <c r="E37" s="19" t="n">
        <v>2041</v>
      </c>
      <c r="F37" s="19" t="n">
        <v>2399</v>
      </c>
      <c r="G37" s="19" t="n">
        <v>2381</v>
      </c>
      <c r="H37" s="19" t="n">
        <v>2059</v>
      </c>
      <c r="I37" s="19" t="n">
        <v>2109</v>
      </c>
      <c r="J37" s="11" t="inlineStr">
        <is>
          <t>https://www.bis.org</t>
        </is>
      </c>
    </row>
    <row r="38">
      <c r="A38" s="18" t="n">
        <v>46053</v>
      </c>
      <c r="B38" s="11" t="inlineStr">
        <is>
          <t>JPMorgan Chase</t>
        </is>
      </c>
      <c r="C38" s="11" t="inlineStr">
        <is>
          <t>U.S. Operating</t>
        </is>
      </c>
      <c r="D38" s="11" t="inlineStr">
        <is>
          <t>****-1442</t>
        </is>
      </c>
      <c r="E38" s="19" t="n">
        <v>8870</v>
      </c>
      <c r="F38" s="19" t="n">
        <v>9914</v>
      </c>
      <c r="G38" s="19" t="n">
        <v>9884</v>
      </c>
      <c r="H38" s="19" t="n">
        <v>8900</v>
      </c>
      <c r="I38" s="19" t="n">
        <v>8931</v>
      </c>
      <c r="J38" s="11" t="inlineStr">
        <is>
          <t>https://www.frbservices.org</t>
        </is>
      </c>
    </row>
    <row r="39">
      <c r="A39" s="18" t="n">
        <v>46053</v>
      </c>
      <c r="B39" s="11" t="inlineStr">
        <is>
          <t>Deutsche Bank</t>
        </is>
      </c>
      <c r="C39" s="11" t="inlineStr">
        <is>
          <t>EU Operating</t>
        </is>
      </c>
      <c r="D39" s="11" t="inlineStr">
        <is>
          <t>****-9921</t>
        </is>
      </c>
      <c r="E39" s="19" t="n">
        <v>5382</v>
      </c>
      <c r="F39" s="19" t="n">
        <v>8612</v>
      </c>
      <c r="G39" s="19" t="n">
        <v>8163</v>
      </c>
      <c r="H39" s="19" t="n">
        <v>5831</v>
      </c>
      <c r="I39" s="19" t="n">
        <v>5573</v>
      </c>
      <c r="J39" s="11" t="inlineStr">
        <is>
          <t>https://www.ecb.europa.eu/paym</t>
        </is>
      </c>
    </row>
    <row r="40">
      <c r="A40" s="18" t="n">
        <v>46053</v>
      </c>
      <c r="B40" s="11" t="inlineStr">
        <is>
          <t>HSBC</t>
        </is>
      </c>
      <c r="C40" s="11" t="inlineStr">
        <is>
          <t>Payroll Clearing</t>
        </is>
      </c>
      <c r="D40" s="11" t="inlineStr">
        <is>
          <t>****-5510</t>
        </is>
      </c>
      <c r="E40" s="19" t="n">
        <v>2059</v>
      </c>
      <c r="F40" s="19" t="n">
        <v>2466</v>
      </c>
      <c r="G40" s="19" t="n">
        <v>2151</v>
      </c>
      <c r="H40" s="19" t="n">
        <v>2374</v>
      </c>
      <c r="I40" s="19" t="n">
        <v>2254</v>
      </c>
      <c r="J40" s="11" t="inlineStr">
        <is>
          <t>https://www.bis.org</t>
        </is>
      </c>
    </row>
  </sheetData>
  <autoFilter ref="A4:J40"/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44" customWidth="1" min="12" max="12"/>
  </cols>
  <sheetData>
    <row r="1">
      <c r="A1" s="1" t="inlineStr">
        <is>
          <t>Accounts Receivable Aging (Current)</t>
        </is>
      </c>
    </row>
    <row r="2">
      <c r="A2" s="2" t="inlineStr">
        <is>
          <t>As of 2026-01-31 (USD $000)</t>
        </is>
      </c>
    </row>
    <row r="4">
      <c r="A4" s="3" t="inlineStr">
        <is>
          <t>Customer</t>
        </is>
      </c>
      <c r="B4" s="3" t="inlineStr">
        <is>
          <t>Region</t>
        </is>
      </c>
      <c r="C4" s="3" t="inlineStr">
        <is>
          <t>Invoice #</t>
        </is>
      </c>
      <c r="D4" s="3" t="inlineStr">
        <is>
          <t>Invoice Date</t>
        </is>
      </c>
      <c r="E4" s="3" t="inlineStr">
        <is>
          <t>Due Date</t>
        </is>
      </c>
      <c r="F4" s="3" t="inlineStr">
        <is>
          <t>Current</t>
        </is>
      </c>
      <c r="G4" s="3" t="inlineStr">
        <is>
          <t>1-30</t>
        </is>
      </c>
      <c r="H4" s="3" t="inlineStr">
        <is>
          <t>31-60</t>
        </is>
      </c>
      <c r="I4" s="3" t="inlineStr">
        <is>
          <t>61-90</t>
        </is>
      </c>
      <c r="J4" s="3" t="inlineStr">
        <is>
          <t>90+</t>
        </is>
      </c>
      <c r="K4" s="3" t="inlineStr">
        <is>
          <t>Total</t>
        </is>
      </c>
      <c r="L4" s="3" t="inlineStr">
        <is>
          <t>Source URL</t>
        </is>
      </c>
    </row>
    <row r="5">
      <c r="A5" s="11" t="inlineStr">
        <is>
          <t>Orion Retail Group</t>
        </is>
      </c>
      <c r="B5" s="11" t="inlineStr">
        <is>
          <t>US</t>
        </is>
      </c>
      <c r="C5" s="11" t="inlineStr">
        <is>
          <t>AR-20260001</t>
        </is>
      </c>
      <c r="D5" s="18" t="n">
        <v>46028</v>
      </c>
      <c r="E5" s="18" t="n">
        <v>46058</v>
      </c>
      <c r="F5" s="19" t="n">
        <v>1211</v>
      </c>
      <c r="G5" s="19" t="n">
        <v>0</v>
      </c>
      <c r="H5" s="19" t="n">
        <v>0</v>
      </c>
      <c r="I5" s="19" t="n">
        <v>0</v>
      </c>
      <c r="J5" s="19" t="n">
        <v>0</v>
      </c>
      <c r="K5" s="19">
        <f>SUM(F5:J5)</f>
        <v/>
      </c>
      <c r="L5" s="11" t="inlineStr">
        <is>
          <t>https://www.apexlogistics.example/internal/ar-ledger-2026-01-31</t>
        </is>
      </c>
    </row>
    <row r="6">
      <c r="A6" s="11" t="inlineStr">
        <is>
          <t>NordPort Manufacturing</t>
        </is>
      </c>
      <c r="B6" s="11" t="inlineStr">
        <is>
          <t>EU</t>
        </is>
      </c>
      <c r="C6" s="11" t="inlineStr">
        <is>
          <t>AR-20260002</t>
        </is>
      </c>
      <c r="D6" s="18" t="n">
        <v>46028</v>
      </c>
      <c r="E6" s="18" t="n">
        <v>46058</v>
      </c>
      <c r="F6" s="19" t="n">
        <v>1193</v>
      </c>
      <c r="G6" s="19" t="n">
        <v>0</v>
      </c>
      <c r="H6" s="19" t="n">
        <v>0</v>
      </c>
      <c r="I6" s="19" t="n">
        <v>0</v>
      </c>
      <c r="J6" s="19" t="n">
        <v>0</v>
      </c>
      <c r="K6" s="19">
        <f>SUM(F6:J6)</f>
        <v/>
      </c>
      <c r="L6" s="11" t="inlineStr">
        <is>
          <t>https://www.apexlogistics.example/internal/ar-ledger-2026-01-31</t>
        </is>
      </c>
    </row>
    <row r="7">
      <c r="A7" s="11" t="inlineStr">
        <is>
          <t>Atlas Pharma</t>
        </is>
      </c>
      <c r="B7" s="11" t="inlineStr">
        <is>
          <t>US</t>
        </is>
      </c>
      <c r="C7" s="11" t="inlineStr">
        <is>
          <t>AR-20260003</t>
        </is>
      </c>
      <c r="D7" s="18" t="n">
        <v>46013</v>
      </c>
      <c r="E7" s="18" t="n">
        <v>46043</v>
      </c>
      <c r="F7" s="19" t="n">
        <v>0</v>
      </c>
      <c r="G7" s="19" t="n">
        <v>951</v>
      </c>
      <c r="H7" s="19" t="n">
        <v>0</v>
      </c>
      <c r="I7" s="19" t="n">
        <v>0</v>
      </c>
      <c r="J7" s="19" t="n">
        <v>0</v>
      </c>
      <c r="K7" s="19">
        <f>SUM(F7:J7)</f>
        <v/>
      </c>
      <c r="L7" s="11" t="inlineStr">
        <is>
          <t>https://www.apexlogistics.example/internal/ar-ledger-2026-01-31</t>
        </is>
      </c>
    </row>
    <row r="8">
      <c r="A8" s="11" t="inlineStr">
        <is>
          <t>BlueRock Foods</t>
        </is>
      </c>
      <c r="B8" s="11" t="inlineStr">
        <is>
          <t>EU</t>
        </is>
      </c>
      <c r="C8" s="11" t="inlineStr">
        <is>
          <t>AR-20260004</t>
        </is>
      </c>
      <c r="D8" s="18" t="n">
        <v>45993</v>
      </c>
      <c r="E8" s="18" t="n">
        <v>46023</v>
      </c>
      <c r="F8" s="19" t="n">
        <v>0</v>
      </c>
      <c r="G8" s="19" t="n">
        <v>0</v>
      </c>
      <c r="H8" s="19" t="n">
        <v>1229</v>
      </c>
      <c r="I8" s="19" t="n">
        <v>0</v>
      </c>
      <c r="J8" s="19" t="n">
        <v>0</v>
      </c>
      <c r="K8" s="19">
        <f>SUM(F8:J8)</f>
        <v/>
      </c>
      <c r="L8" s="11" t="inlineStr">
        <is>
          <t>https://www.apexlogistics.example/internal/ar-ledger-2026-01-31</t>
        </is>
      </c>
    </row>
    <row r="9">
      <c r="A9" s="11" t="inlineStr">
        <is>
          <t>Summit Auto Parts</t>
        </is>
      </c>
      <c r="B9" s="11" t="inlineStr">
        <is>
          <t>US</t>
        </is>
      </c>
      <c r="C9" s="11" t="inlineStr">
        <is>
          <t>AR-20260005</t>
        </is>
      </c>
      <c r="D9" s="18" t="n">
        <v>45993</v>
      </c>
      <c r="E9" s="18" t="n">
        <v>46023</v>
      </c>
      <c r="F9" s="19" t="n">
        <v>0</v>
      </c>
      <c r="G9" s="19" t="n">
        <v>0</v>
      </c>
      <c r="H9" s="19" t="n">
        <v>449</v>
      </c>
      <c r="I9" s="19" t="n">
        <v>0</v>
      </c>
      <c r="J9" s="19" t="n">
        <v>0</v>
      </c>
      <c r="K9" s="19">
        <f>SUM(F9:J9)</f>
        <v/>
      </c>
      <c r="L9" s="11" t="inlineStr">
        <is>
          <t>https://www.apexlogistics.example/internal/ar-ledger-2026-01-31</t>
        </is>
      </c>
    </row>
    <row r="10">
      <c r="A10" s="11" t="inlineStr">
        <is>
          <t>Horizon Homeware</t>
        </is>
      </c>
      <c r="B10" s="11" t="inlineStr">
        <is>
          <t>EU</t>
        </is>
      </c>
      <c r="C10" s="11" t="inlineStr">
        <is>
          <t>AR-20260006</t>
        </is>
      </c>
      <c r="D10" s="18" t="n">
        <v>45928</v>
      </c>
      <c r="E10" s="18" t="n">
        <v>45958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680</v>
      </c>
      <c r="K10" s="19">
        <f>SUM(F10:J10)</f>
        <v/>
      </c>
      <c r="L10" s="11" t="inlineStr">
        <is>
          <t>https://www.apexlogistics.example/internal/ar-ledger-2026-01-31</t>
        </is>
      </c>
    </row>
    <row r="11">
      <c r="A11" s="11" t="inlineStr">
        <is>
          <t>Aquila Electronics</t>
        </is>
      </c>
      <c r="B11" s="11" t="inlineStr">
        <is>
          <t>US</t>
        </is>
      </c>
      <c r="C11" s="11" t="inlineStr">
        <is>
          <t>AR-20260007</t>
        </is>
      </c>
      <c r="D11" s="18" t="n">
        <v>46028</v>
      </c>
      <c r="E11" s="18" t="n">
        <v>46058</v>
      </c>
      <c r="F11" s="19" t="n">
        <v>679</v>
      </c>
      <c r="G11" s="19" t="n">
        <v>0</v>
      </c>
      <c r="H11" s="19" t="n">
        <v>0</v>
      </c>
      <c r="I11" s="19" t="n">
        <v>0</v>
      </c>
      <c r="J11" s="19" t="n">
        <v>0</v>
      </c>
      <c r="K11" s="19">
        <f>SUM(F11:J11)</f>
        <v/>
      </c>
      <c r="L11" s="11" t="inlineStr">
        <is>
          <t>https://www.apexlogistics.example/internal/ar-ledger-2026-01-31</t>
        </is>
      </c>
    </row>
    <row r="12">
      <c r="A12" s="11" t="inlineStr">
        <is>
          <t>NorthSea Equipment</t>
        </is>
      </c>
      <c r="B12" s="11" t="inlineStr">
        <is>
          <t>EU</t>
        </is>
      </c>
      <c r="C12" s="11" t="inlineStr">
        <is>
          <t>AR-20260008</t>
        </is>
      </c>
      <c r="D12" s="18" t="n">
        <v>45963</v>
      </c>
      <c r="E12" s="18" t="n">
        <v>45993</v>
      </c>
      <c r="F12" s="19" t="n">
        <v>0</v>
      </c>
      <c r="G12" s="19" t="n">
        <v>0</v>
      </c>
      <c r="H12" s="19" t="n">
        <v>0</v>
      </c>
      <c r="I12" s="19" t="n">
        <v>816</v>
      </c>
      <c r="J12" s="19" t="n">
        <v>0</v>
      </c>
      <c r="K12" s="19">
        <f>SUM(F12:J12)</f>
        <v/>
      </c>
      <c r="L12" s="11" t="inlineStr">
        <is>
          <t>https://www.apexlogistics.example/internal/ar-ledger-2026-01-31</t>
        </is>
      </c>
    </row>
    <row r="13">
      <c r="A13" s="11" t="inlineStr">
        <is>
          <t>Delta Medical</t>
        </is>
      </c>
      <c r="B13" s="11" t="inlineStr">
        <is>
          <t>US</t>
        </is>
      </c>
      <c r="C13" s="11" t="inlineStr">
        <is>
          <t>AR-20260009</t>
        </is>
      </c>
      <c r="D13" s="18" t="n">
        <v>45993</v>
      </c>
      <c r="E13" s="18" t="n">
        <v>46023</v>
      </c>
      <c r="F13" s="19" t="n">
        <v>0</v>
      </c>
      <c r="G13" s="19" t="n">
        <v>0</v>
      </c>
      <c r="H13" s="19" t="n">
        <v>366</v>
      </c>
      <c r="I13" s="19" t="n">
        <v>0</v>
      </c>
      <c r="J13" s="19" t="n">
        <v>0</v>
      </c>
      <c r="K13" s="19">
        <f>SUM(F13:J13)</f>
        <v/>
      </c>
      <c r="L13" s="11" t="inlineStr">
        <is>
          <t>https://www.apexlogistics.example/internal/ar-ledger-2026-01-31</t>
        </is>
      </c>
    </row>
    <row r="14">
      <c r="A14" s="11" t="inlineStr">
        <is>
          <t>Titan Consumer</t>
        </is>
      </c>
      <c r="B14" s="11" t="inlineStr">
        <is>
          <t>EU</t>
        </is>
      </c>
      <c r="C14" s="11" t="inlineStr">
        <is>
          <t>AR-20260010</t>
        </is>
      </c>
      <c r="D14" s="18" t="n">
        <v>45993</v>
      </c>
      <c r="E14" s="18" t="n">
        <v>46023</v>
      </c>
      <c r="F14" s="19" t="n">
        <v>0</v>
      </c>
      <c r="G14" s="19" t="n">
        <v>0</v>
      </c>
      <c r="H14" s="19" t="n">
        <v>783</v>
      </c>
      <c r="I14" s="19" t="n">
        <v>0</v>
      </c>
      <c r="J14" s="19" t="n">
        <v>0</v>
      </c>
      <c r="K14" s="19">
        <f>SUM(F14:J14)</f>
        <v/>
      </c>
      <c r="L14" s="11" t="inlineStr">
        <is>
          <t>https://www.apexlogistics.example/internal/ar-ledger-2026-01-31</t>
        </is>
      </c>
    </row>
    <row r="15">
      <c r="A15" s="11" t="inlineStr">
        <is>
          <t>Pioneer Industrial</t>
        </is>
      </c>
      <c r="B15" s="11" t="inlineStr">
        <is>
          <t>US</t>
        </is>
      </c>
      <c r="C15" s="11" t="inlineStr">
        <is>
          <t>AR-20260011</t>
        </is>
      </c>
      <c r="D15" s="18" t="n">
        <v>46028</v>
      </c>
      <c r="E15" s="18" t="n">
        <v>46058</v>
      </c>
      <c r="F15" s="19" t="n">
        <v>558</v>
      </c>
      <c r="G15" s="19" t="n">
        <v>0</v>
      </c>
      <c r="H15" s="19" t="n">
        <v>0</v>
      </c>
      <c r="I15" s="19" t="n">
        <v>0</v>
      </c>
      <c r="J15" s="19" t="n">
        <v>0</v>
      </c>
      <c r="K15" s="19">
        <f>SUM(F15:J15)</f>
        <v/>
      </c>
      <c r="L15" s="11" t="inlineStr">
        <is>
          <t>https://www.apexlogistics.example/internal/ar-ledger-2026-01-31</t>
        </is>
      </c>
    </row>
    <row r="16">
      <c r="A16" s="11" t="inlineStr">
        <is>
          <t>Vega Textiles</t>
        </is>
      </c>
      <c r="B16" s="11" t="inlineStr">
        <is>
          <t>EU</t>
        </is>
      </c>
      <c r="C16" s="11" t="inlineStr">
        <is>
          <t>AR-20260012</t>
        </is>
      </c>
      <c r="D16" s="18" t="n">
        <v>46028</v>
      </c>
      <c r="E16" s="18" t="n">
        <v>46058</v>
      </c>
      <c r="F16" s="19" t="n">
        <v>560</v>
      </c>
      <c r="G16" s="19" t="n">
        <v>0</v>
      </c>
      <c r="H16" s="19" t="n">
        <v>0</v>
      </c>
      <c r="I16" s="19" t="n">
        <v>0</v>
      </c>
      <c r="J16" s="19" t="n">
        <v>0</v>
      </c>
      <c r="K16" s="19">
        <f>SUM(F16:J16)</f>
        <v/>
      </c>
      <c r="L16" s="11" t="inlineStr">
        <is>
          <t>https://www.apexlogistics.example/internal/ar-ledger-2026-01-31</t>
        </is>
      </c>
    </row>
    <row r="17">
      <c r="A17" s="11" t="inlineStr">
        <is>
          <t>Granite Energy</t>
        </is>
      </c>
      <c r="B17" s="11" t="inlineStr">
        <is>
          <t>US</t>
        </is>
      </c>
      <c r="C17" s="11" t="inlineStr">
        <is>
          <t>AR-20260013</t>
        </is>
      </c>
      <c r="D17" s="18" t="n">
        <v>46028</v>
      </c>
      <c r="E17" s="18" t="n">
        <v>46058</v>
      </c>
      <c r="F17" s="19" t="n">
        <v>1256</v>
      </c>
      <c r="G17" s="19" t="n">
        <v>0</v>
      </c>
      <c r="H17" s="19" t="n">
        <v>0</v>
      </c>
      <c r="I17" s="19" t="n">
        <v>0</v>
      </c>
      <c r="J17" s="19" t="n">
        <v>0</v>
      </c>
      <c r="K17" s="19">
        <f>SUM(F17:J17)</f>
        <v/>
      </c>
      <c r="L17" s="11" t="inlineStr">
        <is>
          <t>https://www.apexlogistics.example/internal/ar-ledger-2026-01-31</t>
        </is>
      </c>
    </row>
    <row r="18">
      <c r="A18" s="11" t="inlineStr">
        <is>
          <t>Lumen Beauty</t>
        </is>
      </c>
      <c r="B18" s="11" t="inlineStr">
        <is>
          <t>EU</t>
        </is>
      </c>
      <c r="C18" s="11" t="inlineStr">
        <is>
          <t>AR-20260014</t>
        </is>
      </c>
      <c r="D18" s="18" t="n">
        <v>45963</v>
      </c>
      <c r="E18" s="18" t="n">
        <v>45993</v>
      </c>
      <c r="F18" s="19" t="n">
        <v>0</v>
      </c>
      <c r="G18" s="19" t="n">
        <v>0</v>
      </c>
      <c r="H18" s="19" t="n">
        <v>0</v>
      </c>
      <c r="I18" s="19" t="n">
        <v>941</v>
      </c>
      <c r="J18" s="19" t="n">
        <v>0</v>
      </c>
      <c r="K18" s="19">
        <f>SUM(F18:J18)</f>
        <v/>
      </c>
      <c r="L18" s="11" t="inlineStr">
        <is>
          <t>https://www.apexlogistics.example/internal/ar-ledger-2026-01-31</t>
        </is>
      </c>
    </row>
    <row r="19">
      <c r="A19" s="11" t="inlineStr">
        <is>
          <t>Peak Beverages</t>
        </is>
      </c>
      <c r="B19" s="11" t="inlineStr">
        <is>
          <t>US</t>
        </is>
      </c>
      <c r="C19" s="11" t="inlineStr">
        <is>
          <t>AR-20260015</t>
        </is>
      </c>
      <c r="D19" s="18" t="n">
        <v>46028</v>
      </c>
      <c r="E19" s="18" t="n">
        <v>46058</v>
      </c>
      <c r="F19" s="19" t="n">
        <v>347</v>
      </c>
      <c r="G19" s="19" t="n">
        <v>0</v>
      </c>
      <c r="H19" s="19" t="n">
        <v>0</v>
      </c>
      <c r="I19" s="19" t="n">
        <v>0</v>
      </c>
      <c r="J19" s="19" t="n">
        <v>0</v>
      </c>
      <c r="K19" s="19">
        <f>SUM(F19:J19)</f>
        <v/>
      </c>
      <c r="L19" s="11" t="inlineStr">
        <is>
          <t>https://www.apexlogistics.example/internal/ar-ledger-2026-01-31</t>
        </is>
      </c>
    </row>
    <row r="20">
      <c r="A20" s="16" t="inlineStr">
        <is>
          <t>Total A/R</t>
        </is>
      </c>
      <c r="B20" s="20" t="n"/>
      <c r="C20" s="20" t="n"/>
      <c r="D20" s="20" t="n"/>
      <c r="E20" s="20" t="n"/>
      <c r="F20" s="21">
        <f>SUM(F5:F19)</f>
        <v/>
      </c>
      <c r="G20" s="21">
        <f>SUM(G5:G19)</f>
        <v/>
      </c>
      <c r="H20" s="21">
        <f>SUM(H5:H19)</f>
        <v/>
      </c>
      <c r="I20" s="21">
        <f>SUM(I5:I19)</f>
        <v/>
      </c>
      <c r="J20" s="21">
        <f>SUM(J5:J19)</f>
        <v/>
      </c>
      <c r="K20" s="21">
        <f>SUM(K5:K19)</f>
        <v/>
      </c>
      <c r="L20" s="20" t="n"/>
    </row>
  </sheetData>
  <autoFilter ref="A4:L20"/>
  <mergeCells count="2">
    <mergeCell ref="A2:L2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44" customWidth="1" min="12" max="12"/>
  </cols>
  <sheetData>
    <row r="1">
      <c r="A1" s="1" t="inlineStr">
        <is>
          <t>Accounts Payable Aging (Current)</t>
        </is>
      </c>
    </row>
    <row r="2">
      <c r="A2" s="2" t="inlineStr">
        <is>
          <t>As of 2026-01-31 (USD $000)</t>
        </is>
      </c>
    </row>
    <row r="4">
      <c r="A4" s="3" t="inlineStr">
        <is>
          <t>Vendor</t>
        </is>
      </c>
      <c r="B4" s="3" t="inlineStr">
        <is>
          <t>Region</t>
        </is>
      </c>
      <c r="C4" s="3" t="inlineStr">
        <is>
          <t>Invoice #</t>
        </is>
      </c>
      <c r="D4" s="3" t="inlineStr">
        <is>
          <t>Invoice Date</t>
        </is>
      </c>
      <c r="E4" s="3" t="inlineStr">
        <is>
          <t>Due Date</t>
        </is>
      </c>
      <c r="F4" s="3" t="inlineStr">
        <is>
          <t>Current</t>
        </is>
      </c>
      <c r="G4" s="3" t="inlineStr">
        <is>
          <t>1-30</t>
        </is>
      </c>
      <c r="H4" s="3" t="inlineStr">
        <is>
          <t>31-60</t>
        </is>
      </c>
      <c r="I4" s="3" t="inlineStr">
        <is>
          <t>61-90</t>
        </is>
      </c>
      <c r="J4" s="3" t="inlineStr">
        <is>
          <t>90+</t>
        </is>
      </c>
      <c r="K4" s="3" t="inlineStr">
        <is>
          <t>Total</t>
        </is>
      </c>
      <c r="L4" s="3" t="inlineStr">
        <is>
          <t>Source URL</t>
        </is>
      </c>
    </row>
    <row r="5">
      <c r="A5" s="11" t="inlineStr">
        <is>
          <t>SwiftFuel Energy</t>
        </is>
      </c>
      <c r="B5" s="11" t="inlineStr">
        <is>
          <t>US</t>
        </is>
      </c>
      <c r="C5" s="11" t="inlineStr">
        <is>
          <t>AP-20260001</t>
        </is>
      </c>
      <c r="D5" s="18" t="n">
        <v>45938</v>
      </c>
      <c r="E5" s="18" t="n">
        <v>45968</v>
      </c>
      <c r="F5" s="19" t="n">
        <v>0</v>
      </c>
      <c r="G5" s="19" t="n">
        <v>0</v>
      </c>
      <c r="H5" s="19" t="n">
        <v>0</v>
      </c>
      <c r="I5" s="19" t="n">
        <v>0</v>
      </c>
      <c r="J5" s="19" t="n">
        <v>173</v>
      </c>
      <c r="K5" s="19">
        <f>SUM(F5:J5)</f>
        <v/>
      </c>
      <c r="L5" s="11" t="inlineStr">
        <is>
          <t>https://www.apexlogistics.example/internal/ap-ledger-2026-01-31</t>
        </is>
      </c>
    </row>
    <row r="6">
      <c r="A6" s="11" t="inlineStr">
        <is>
          <t>EuroFleet Leasing</t>
        </is>
      </c>
      <c r="B6" s="11" t="inlineStr">
        <is>
          <t>EU</t>
        </is>
      </c>
      <c r="C6" s="11" t="inlineStr">
        <is>
          <t>AP-20260002</t>
        </is>
      </c>
      <c r="D6" s="18" t="n">
        <v>45999</v>
      </c>
      <c r="E6" s="18" t="n">
        <v>46029</v>
      </c>
      <c r="F6" s="19" t="n">
        <v>0</v>
      </c>
      <c r="G6" s="19" t="n">
        <v>0</v>
      </c>
      <c r="H6" s="19" t="n">
        <v>708</v>
      </c>
      <c r="I6" s="19" t="n">
        <v>0</v>
      </c>
      <c r="J6" s="19" t="n">
        <v>0</v>
      </c>
      <c r="K6" s="19">
        <f>SUM(F6:J6)</f>
        <v/>
      </c>
      <c r="L6" s="11" t="inlineStr">
        <is>
          <t>https://www.apexlogistics.example/internal/ap-ledger-2026-01-31</t>
        </is>
      </c>
    </row>
    <row r="7">
      <c r="A7" s="11" t="inlineStr">
        <is>
          <t>Harbor Rail Systems</t>
        </is>
      </c>
      <c r="B7" s="11" t="inlineStr">
        <is>
          <t>US</t>
        </is>
      </c>
      <c r="C7" s="11" t="inlineStr">
        <is>
          <t>AP-20260003</t>
        </is>
      </c>
      <c r="D7" s="18" t="n">
        <v>45938</v>
      </c>
      <c r="E7" s="18" t="n">
        <v>45968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391</v>
      </c>
      <c r="K7" s="19">
        <f>SUM(F7:J7)</f>
        <v/>
      </c>
      <c r="L7" s="11" t="inlineStr">
        <is>
          <t>https://www.apexlogistics.example/internal/ap-ledger-2026-01-31</t>
        </is>
      </c>
    </row>
    <row r="8">
      <c r="A8" s="11" t="inlineStr">
        <is>
          <t>Mercury Packaging</t>
        </is>
      </c>
      <c r="B8" s="11" t="inlineStr">
        <is>
          <t>EU</t>
        </is>
      </c>
      <c r="C8" s="11" t="inlineStr">
        <is>
          <t>AP-20260004</t>
        </is>
      </c>
      <c r="D8" s="18" t="n">
        <v>46035</v>
      </c>
      <c r="E8" s="18" t="n">
        <v>46065</v>
      </c>
      <c r="F8" s="19" t="n">
        <v>618</v>
      </c>
      <c r="G8" s="19" t="n">
        <v>0</v>
      </c>
      <c r="H8" s="19" t="n">
        <v>0</v>
      </c>
      <c r="I8" s="19" t="n">
        <v>0</v>
      </c>
      <c r="J8" s="19" t="n">
        <v>0</v>
      </c>
      <c r="K8" s="19">
        <f>SUM(F8:J8)</f>
        <v/>
      </c>
      <c r="L8" s="11" t="inlineStr">
        <is>
          <t>https://www.apexlogistics.example/internal/ap-ledger-2026-01-31</t>
        </is>
      </c>
    </row>
    <row r="9">
      <c r="A9" s="11" t="inlineStr">
        <is>
          <t>Peak Staffing</t>
        </is>
      </c>
      <c r="B9" s="11" t="inlineStr">
        <is>
          <t>US</t>
        </is>
      </c>
      <c r="C9" s="11" t="inlineStr">
        <is>
          <t>AP-20260005</t>
        </is>
      </c>
      <c r="D9" s="18" t="n">
        <v>45999</v>
      </c>
      <c r="E9" s="18" t="n">
        <v>46029</v>
      </c>
      <c r="F9" s="19" t="n">
        <v>0</v>
      </c>
      <c r="G9" s="19" t="n">
        <v>0</v>
      </c>
      <c r="H9" s="19" t="n">
        <v>498</v>
      </c>
      <c r="I9" s="19" t="n">
        <v>0</v>
      </c>
      <c r="J9" s="19" t="n">
        <v>0</v>
      </c>
      <c r="K9" s="19">
        <f>SUM(F9:J9)</f>
        <v/>
      </c>
      <c r="L9" s="11" t="inlineStr">
        <is>
          <t>https://www.apexlogistics.example/internal/ap-ledger-2026-01-31</t>
        </is>
      </c>
    </row>
    <row r="10">
      <c r="A10" s="11" t="inlineStr">
        <is>
          <t>Danube Logistics Parks</t>
        </is>
      </c>
      <c r="B10" s="11" t="inlineStr">
        <is>
          <t>EU</t>
        </is>
      </c>
      <c r="C10" s="11" t="inlineStr">
        <is>
          <t>AP-20260006</t>
        </is>
      </c>
      <c r="D10" s="18" t="n">
        <v>45971</v>
      </c>
      <c r="E10" s="18" t="n">
        <v>46001</v>
      </c>
      <c r="F10" s="19" t="n">
        <v>0</v>
      </c>
      <c r="G10" s="19" t="n">
        <v>0</v>
      </c>
      <c r="H10" s="19" t="n">
        <v>0</v>
      </c>
      <c r="I10" s="19" t="n">
        <v>115</v>
      </c>
      <c r="J10" s="19" t="n">
        <v>0</v>
      </c>
      <c r="K10" s="19">
        <f>SUM(F10:J10)</f>
        <v/>
      </c>
      <c r="L10" s="11" t="inlineStr">
        <is>
          <t>https://www.apexlogistics.example/internal/ap-ledger-2026-01-31</t>
        </is>
      </c>
    </row>
    <row r="11">
      <c r="A11" s="11" t="inlineStr">
        <is>
          <t>TriState Tires</t>
        </is>
      </c>
      <c r="B11" s="11" t="inlineStr">
        <is>
          <t>US</t>
        </is>
      </c>
      <c r="C11" s="11" t="inlineStr">
        <is>
          <t>AP-20260007</t>
        </is>
      </c>
      <c r="D11" s="18" t="n">
        <v>46035</v>
      </c>
      <c r="E11" s="18" t="n">
        <v>46065</v>
      </c>
      <c r="F11" s="19" t="n">
        <v>202</v>
      </c>
      <c r="G11" s="19" t="n">
        <v>0</v>
      </c>
      <c r="H11" s="19" t="n">
        <v>0</v>
      </c>
      <c r="I11" s="19" t="n">
        <v>0</v>
      </c>
      <c r="J11" s="19" t="n">
        <v>0</v>
      </c>
      <c r="K11" s="19">
        <f>SUM(F11:J11)</f>
        <v/>
      </c>
      <c r="L11" s="11" t="inlineStr">
        <is>
          <t>https://www.apexlogistics.example/internal/ap-ledger-2026-01-31</t>
        </is>
      </c>
    </row>
    <row r="12">
      <c r="A12" s="11" t="inlineStr">
        <is>
          <t>Rhein Tech Systems</t>
        </is>
      </c>
      <c r="B12" s="11" t="inlineStr">
        <is>
          <t>EU</t>
        </is>
      </c>
      <c r="C12" s="11" t="inlineStr">
        <is>
          <t>AP-20260008</t>
        </is>
      </c>
      <c r="D12" s="18" t="n">
        <v>45971</v>
      </c>
      <c r="E12" s="18" t="n">
        <v>46001</v>
      </c>
      <c r="F12" s="19" t="n">
        <v>0</v>
      </c>
      <c r="G12" s="19" t="n">
        <v>0</v>
      </c>
      <c r="H12" s="19" t="n">
        <v>0</v>
      </c>
      <c r="I12" s="19" t="n">
        <v>763</v>
      </c>
      <c r="J12" s="19" t="n">
        <v>0</v>
      </c>
      <c r="K12" s="19">
        <f>SUM(F12:J12)</f>
        <v/>
      </c>
      <c r="L12" s="11" t="inlineStr">
        <is>
          <t>https://www.apexlogistics.example/internal/ap-ledger-2026-01-31</t>
        </is>
      </c>
    </row>
    <row r="13">
      <c r="A13" s="11" t="inlineStr">
        <is>
          <t>Atlas Insurance</t>
        </is>
      </c>
      <c r="B13" s="11" t="inlineStr">
        <is>
          <t>US</t>
        </is>
      </c>
      <c r="C13" s="11" t="inlineStr">
        <is>
          <t>AP-20260009</t>
        </is>
      </c>
      <c r="D13" s="18" t="n">
        <v>46021</v>
      </c>
      <c r="E13" s="18" t="n">
        <v>46051</v>
      </c>
      <c r="F13" s="19" t="n">
        <v>0</v>
      </c>
      <c r="G13" s="19" t="n">
        <v>453</v>
      </c>
      <c r="H13" s="19" t="n">
        <v>0</v>
      </c>
      <c r="I13" s="19" t="n">
        <v>0</v>
      </c>
      <c r="J13" s="19" t="n">
        <v>0</v>
      </c>
      <c r="K13" s="19">
        <f>SUM(F13:J13)</f>
        <v/>
      </c>
      <c r="L13" s="11" t="inlineStr">
        <is>
          <t>https://www.apexlogistics.example/internal/ap-ledger-2026-01-31</t>
        </is>
      </c>
    </row>
    <row r="14">
      <c r="A14" s="11" t="inlineStr">
        <is>
          <t>Nordic Warehousing</t>
        </is>
      </c>
      <c r="B14" s="11" t="inlineStr">
        <is>
          <t>EU</t>
        </is>
      </c>
      <c r="C14" s="11" t="inlineStr">
        <is>
          <t>AP-20260010</t>
        </is>
      </c>
      <c r="D14" s="18" t="n">
        <v>46035</v>
      </c>
      <c r="E14" s="18" t="n">
        <v>46065</v>
      </c>
      <c r="F14" s="19" t="n">
        <v>605</v>
      </c>
      <c r="G14" s="19" t="n">
        <v>0</v>
      </c>
      <c r="H14" s="19" t="n">
        <v>0</v>
      </c>
      <c r="I14" s="19" t="n">
        <v>0</v>
      </c>
      <c r="J14" s="19" t="n">
        <v>0</v>
      </c>
      <c r="K14" s="19">
        <f>SUM(F14:J14)</f>
        <v/>
      </c>
      <c r="L14" s="11" t="inlineStr">
        <is>
          <t>https://www.apexlogistics.example/internal/ap-ledger-2026-01-31</t>
        </is>
      </c>
    </row>
    <row r="15">
      <c r="A15" s="11" t="inlineStr">
        <is>
          <t>Metro Utilities</t>
        </is>
      </c>
      <c r="B15" s="11" t="inlineStr">
        <is>
          <t>US</t>
        </is>
      </c>
      <c r="C15" s="11" t="inlineStr">
        <is>
          <t>AP-20260011</t>
        </is>
      </c>
      <c r="D15" s="18" t="n">
        <v>45999</v>
      </c>
      <c r="E15" s="18" t="n">
        <v>46029</v>
      </c>
      <c r="F15" s="19" t="n">
        <v>0</v>
      </c>
      <c r="G15" s="19" t="n">
        <v>0</v>
      </c>
      <c r="H15" s="19" t="n">
        <v>718</v>
      </c>
      <c r="I15" s="19" t="n">
        <v>0</v>
      </c>
      <c r="J15" s="19" t="n">
        <v>0</v>
      </c>
      <c r="K15" s="19">
        <f>SUM(F15:J15)</f>
        <v/>
      </c>
      <c r="L15" s="11" t="inlineStr">
        <is>
          <t>https://www.apexlogistics.example/internal/ap-ledger-2026-01-31</t>
        </is>
      </c>
    </row>
    <row r="16">
      <c r="A16" s="11" t="inlineStr">
        <is>
          <t>Baltic Freight Services</t>
        </is>
      </c>
      <c r="B16" s="11" t="inlineStr">
        <is>
          <t>EU</t>
        </is>
      </c>
      <c r="C16" s="11" t="inlineStr">
        <is>
          <t>AP-20260012</t>
        </is>
      </c>
      <c r="D16" s="18" t="n">
        <v>45938</v>
      </c>
      <c r="E16" s="18" t="n">
        <v>45968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525</v>
      </c>
      <c r="K16" s="19">
        <f>SUM(F16:J16)</f>
        <v/>
      </c>
      <c r="L16" s="11" t="inlineStr">
        <is>
          <t>https://www.apexlogistics.example/internal/ap-ledger-2026-01-31</t>
        </is>
      </c>
    </row>
    <row r="17">
      <c r="A17" s="11" t="inlineStr">
        <is>
          <t>Sunline Telecom</t>
        </is>
      </c>
      <c r="B17" s="11" t="inlineStr">
        <is>
          <t>US</t>
        </is>
      </c>
      <c r="C17" s="11" t="inlineStr">
        <is>
          <t>AP-20260013</t>
        </is>
      </c>
      <c r="D17" s="18" t="n">
        <v>46021</v>
      </c>
      <c r="E17" s="18" t="n">
        <v>46051</v>
      </c>
      <c r="F17" s="19" t="n">
        <v>0</v>
      </c>
      <c r="G17" s="19" t="n">
        <v>553</v>
      </c>
      <c r="H17" s="19" t="n">
        <v>0</v>
      </c>
      <c r="I17" s="19" t="n">
        <v>0</v>
      </c>
      <c r="J17" s="19" t="n">
        <v>0</v>
      </c>
      <c r="K17" s="19">
        <f>SUM(F17:J17)</f>
        <v/>
      </c>
      <c r="L17" s="11" t="inlineStr">
        <is>
          <t>https://www.apexlogistics.example/internal/ap-ledger-2026-01-31</t>
        </is>
      </c>
    </row>
    <row r="18">
      <c r="A18" s="11" t="inlineStr">
        <is>
          <t>Central Customs Brokers</t>
        </is>
      </c>
      <c r="B18" s="11" t="inlineStr">
        <is>
          <t>EU</t>
        </is>
      </c>
      <c r="C18" s="11" t="inlineStr">
        <is>
          <t>AP-20260014</t>
        </is>
      </c>
      <c r="D18" s="18" t="n">
        <v>46021</v>
      </c>
      <c r="E18" s="18" t="n">
        <v>46051</v>
      </c>
      <c r="F18" s="19" t="n">
        <v>0</v>
      </c>
      <c r="G18" s="19" t="n">
        <v>320</v>
      </c>
      <c r="H18" s="19" t="n">
        <v>0</v>
      </c>
      <c r="I18" s="19" t="n">
        <v>0</v>
      </c>
      <c r="J18" s="19" t="n">
        <v>0</v>
      </c>
      <c r="K18" s="19">
        <f>SUM(F18:J18)</f>
        <v/>
      </c>
      <c r="L18" s="11" t="inlineStr">
        <is>
          <t>https://www.apexlogistics.example/internal/ap-ledger-2026-01-31</t>
        </is>
      </c>
    </row>
    <row r="19">
      <c r="A19" s="11" t="inlineStr">
        <is>
          <t>BlueRoute Maintenance</t>
        </is>
      </c>
      <c r="B19" s="11" t="inlineStr">
        <is>
          <t>US</t>
        </is>
      </c>
      <c r="C19" s="11" t="inlineStr">
        <is>
          <t>AP-20260015</t>
        </is>
      </c>
      <c r="D19" s="18" t="n">
        <v>45971</v>
      </c>
      <c r="E19" s="18" t="n">
        <v>46001</v>
      </c>
      <c r="F19" s="19" t="n">
        <v>0</v>
      </c>
      <c r="G19" s="19" t="n">
        <v>0</v>
      </c>
      <c r="H19" s="19" t="n">
        <v>0</v>
      </c>
      <c r="I19" s="19" t="n">
        <v>513</v>
      </c>
      <c r="J19" s="19" t="n">
        <v>0</v>
      </c>
      <c r="K19" s="19">
        <f>SUM(F19:J19)</f>
        <v/>
      </c>
      <c r="L19" s="11" t="inlineStr">
        <is>
          <t>https://www.apexlogistics.example/internal/ap-ledger-2026-01-31</t>
        </is>
      </c>
    </row>
    <row r="20">
      <c r="A20" s="16" t="inlineStr">
        <is>
          <t>Total A/P</t>
        </is>
      </c>
      <c r="B20" s="20" t="n"/>
      <c r="C20" s="20" t="n"/>
      <c r="D20" s="20" t="n"/>
      <c r="E20" s="20" t="n"/>
      <c r="F20" s="21">
        <f>SUM(F5:F19)</f>
        <v/>
      </c>
      <c r="G20" s="21">
        <f>SUM(G5:G19)</f>
        <v/>
      </c>
      <c r="H20" s="21">
        <f>SUM(H5:H19)</f>
        <v/>
      </c>
      <c r="I20" s="21">
        <f>SUM(I5:I19)</f>
        <v/>
      </c>
      <c r="J20" s="21">
        <f>SUM(J5:J19)</f>
        <v/>
      </c>
      <c r="K20" s="21">
        <f>SUM(K5:K19)</f>
        <v/>
      </c>
      <c r="L20" s="20" t="n"/>
    </row>
  </sheetData>
  <autoFilter ref="A4:L20"/>
  <mergeCells count="2">
    <mergeCell ref="A2:L2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0" customWidth="1" min="3" max="3"/>
    <col width="16" customWidth="1" min="4" max="4"/>
    <col width="18" customWidth="1" min="5" max="5"/>
    <col width="12" customWidth="1" min="6" max="6"/>
    <col width="12" customWidth="1" min="7" max="7"/>
    <col width="10" customWidth="1" min="8" max="8"/>
    <col width="14" customWidth="1" min="9" max="9"/>
    <col width="22" customWidth="1" min="10" max="10"/>
    <col width="20" customWidth="1" min="11" max="11"/>
    <col width="18" customWidth="1" min="12" max="12"/>
    <col width="18" customWidth="1" min="13" max="13"/>
    <col width="34" customWidth="1" min="14" max="14"/>
  </cols>
  <sheetData>
    <row r="1">
      <c r="A1" s="1" t="inlineStr">
        <is>
          <t>Debt Schedule</t>
        </is>
      </c>
    </row>
    <row r="2">
      <c r="A2" s="2" t="inlineStr">
        <is>
          <t>Outstanding obligations, maturities, and pricing (USD $000)</t>
        </is>
      </c>
    </row>
    <row r="4">
      <c r="A4" s="3" t="inlineStr">
        <is>
          <t>Facility</t>
        </is>
      </c>
      <c r="B4" s="3" t="inlineStr">
        <is>
          <t>Lender</t>
        </is>
      </c>
      <c r="C4" s="3" t="inlineStr">
        <is>
          <t>Currency</t>
        </is>
      </c>
      <c r="D4" s="3" t="inlineStr">
        <is>
          <t>Original Amount</t>
        </is>
      </c>
      <c r="E4" s="3" t="inlineStr">
        <is>
          <t>Outstanding Principal</t>
        </is>
      </c>
      <c r="F4" s="3" t="inlineStr">
        <is>
          <t>Rate Type</t>
        </is>
      </c>
      <c r="G4" s="3" t="inlineStr">
        <is>
          <t>All-in Rate</t>
        </is>
      </c>
      <c r="H4" s="3" t="inlineStr">
        <is>
          <t>Spread</t>
        </is>
      </c>
      <c r="I4" s="3" t="inlineStr">
        <is>
          <t>Maturity Date</t>
        </is>
      </c>
      <c r="J4" s="3" t="inlineStr">
        <is>
          <t>Amortization</t>
        </is>
      </c>
      <c r="K4" s="3" t="inlineStr">
        <is>
          <t>Estimated Monthly Payment</t>
        </is>
      </c>
      <c r="L4" s="3" t="inlineStr">
        <is>
          <t>Net Leverage Covenant</t>
        </is>
      </c>
      <c r="M4" s="3" t="inlineStr">
        <is>
          <t>Security</t>
        </is>
      </c>
      <c r="N4" s="3" t="inlineStr">
        <is>
          <t>Source URL</t>
        </is>
      </c>
    </row>
    <row r="5">
      <c r="A5" s="11" t="inlineStr">
        <is>
          <t>Term Loan A</t>
        </is>
      </c>
      <c r="B5" s="11" t="inlineStr">
        <is>
          <t>JPMorgan Chase</t>
        </is>
      </c>
      <c r="C5" s="11" t="inlineStr">
        <is>
          <t>USD</t>
        </is>
      </c>
      <c r="D5" s="22" t="n">
        <v>10023</v>
      </c>
      <c r="E5" s="22" t="n">
        <v>7882</v>
      </c>
      <c r="F5" s="23" t="inlineStr">
        <is>
          <t>Floating</t>
        </is>
      </c>
      <c r="G5" s="24" t="n">
        <v>0.064</v>
      </c>
      <c r="H5" s="24" t="n">
        <v>0.021</v>
      </c>
      <c r="I5" s="25" t="n">
        <v>46934</v>
      </c>
      <c r="J5" s="23" t="inlineStr">
        <is>
          <t>60-month straight-line</t>
        </is>
      </c>
      <c r="K5" s="26">
        <f>IFERROR(-PMT(G5/12,MAX(1,ROUND((I5-DATE(2026,1,31))/30,0)),E5),0)</f>
        <v/>
      </c>
      <c r="L5" s="27" t="n">
        <v>4.5</v>
      </c>
      <c r="M5" s="11" t="inlineStr">
        <is>
          <t>Senior secured</t>
        </is>
      </c>
      <c r="N5" s="11" t="inlineStr">
        <is>
          <t>https://www.sec.gov</t>
        </is>
      </c>
    </row>
    <row r="6">
      <c r="A6" s="11" t="inlineStr">
        <is>
          <t>Term Loan B</t>
        </is>
      </c>
      <c r="B6" s="11" t="inlineStr">
        <is>
          <t>BNP Paribas</t>
        </is>
      </c>
      <c r="C6" s="11" t="inlineStr">
        <is>
          <t>EUR</t>
        </is>
      </c>
      <c r="D6" s="22" t="n">
        <v>6834</v>
      </c>
      <c r="E6" s="22" t="n">
        <v>5376</v>
      </c>
      <c r="F6" s="23" t="inlineStr">
        <is>
          <t>Fixed</t>
        </is>
      </c>
      <c r="G6" s="24" t="n">
        <v>0.0515</v>
      </c>
      <c r="H6" s="24" t="n">
        <v>0</v>
      </c>
      <c r="I6" s="25" t="n">
        <v>47208</v>
      </c>
      <c r="J6" s="23" t="inlineStr">
        <is>
          <t>72-month amortizing</t>
        </is>
      </c>
      <c r="K6" s="26">
        <f>IFERROR(-PMT(G6/12,MAX(1,ROUND((I6-DATE(2026,1,31))/30,0)),E6),0)</f>
        <v/>
      </c>
      <c r="L6" s="27" t="n">
        <v>4.25</v>
      </c>
      <c r="M6" s="11" t="inlineStr">
        <is>
          <t>Senior secured</t>
        </is>
      </c>
      <c r="N6" s="11" t="inlineStr">
        <is>
          <t>https://www.esma.europa.eu</t>
        </is>
      </c>
    </row>
    <row r="7">
      <c r="A7" s="11" t="inlineStr">
        <is>
          <t>Revolving Credit</t>
        </is>
      </c>
      <c r="B7" s="11" t="inlineStr">
        <is>
          <t>Bank of America</t>
        </is>
      </c>
      <c r="C7" s="11" t="inlineStr">
        <is>
          <t>USD</t>
        </is>
      </c>
      <c r="D7" s="22" t="n">
        <v>8200</v>
      </c>
      <c r="E7" s="22" t="n">
        <v>4191</v>
      </c>
      <c r="F7" s="23" t="inlineStr">
        <is>
          <t>Floating</t>
        </is>
      </c>
      <c r="G7" s="24" t="n">
        <v>0.0675</v>
      </c>
      <c r="H7" s="24" t="n">
        <v>0.024</v>
      </c>
      <c r="I7" s="25" t="n">
        <v>46752</v>
      </c>
      <c r="J7" s="23" t="inlineStr">
        <is>
          <t>Bullet at maturity</t>
        </is>
      </c>
      <c r="K7" s="26">
        <f>IFERROR(-PMT(G7/12,MAX(1,ROUND((I7-DATE(2026,1,31))/30,0)),E7),0)</f>
        <v/>
      </c>
      <c r="L7" s="27" t="n">
        <v>4.75</v>
      </c>
      <c r="M7" s="11" t="inlineStr">
        <is>
          <t>Senior secured</t>
        </is>
      </c>
      <c r="N7" s="11" t="inlineStr">
        <is>
          <t>https://www.ffiec.gov</t>
        </is>
      </c>
    </row>
    <row r="8">
      <c r="A8" s="11" t="inlineStr">
        <is>
          <t>Equipment Lease</t>
        </is>
      </c>
      <c r="B8" s="11" t="inlineStr">
        <is>
          <t>Deutsche Leasing</t>
        </is>
      </c>
      <c r="C8" s="11" t="inlineStr">
        <is>
          <t>EUR</t>
        </is>
      </c>
      <c r="D8" s="22" t="n">
        <v>2460</v>
      </c>
      <c r="E8" s="22" t="n">
        <v>1412</v>
      </c>
      <c r="F8" s="23" t="inlineStr">
        <is>
          <t>Fixed</t>
        </is>
      </c>
      <c r="G8" s="24" t="n">
        <v>0.048</v>
      </c>
      <c r="H8" s="24" t="n">
        <v>0</v>
      </c>
      <c r="I8" s="25" t="n">
        <v>47026</v>
      </c>
      <c r="J8" s="23" t="inlineStr">
        <is>
          <t>48-month amortizing</t>
        </is>
      </c>
      <c r="K8" s="26">
        <f>IFERROR(-PMT(G8/12,MAX(1,ROUND((I8-DATE(2026,1,31))/30,0)),E8),0)</f>
        <v/>
      </c>
      <c r="L8" s="27" t="n">
        <v>4.25</v>
      </c>
      <c r="M8" s="11" t="inlineStr">
        <is>
          <t>Secured by equipment</t>
        </is>
      </c>
      <c r="N8" s="11" t="inlineStr">
        <is>
          <t>https://www.ecb.europa.eu</t>
        </is>
      </c>
    </row>
    <row r="9">
      <c r="A9" s="11" t="inlineStr">
        <is>
          <t>Warehouse Lease Liability</t>
        </is>
      </c>
      <c r="B9" s="11" t="inlineStr">
        <is>
          <t>CBRE Finance</t>
        </is>
      </c>
      <c r="C9" s="11" t="inlineStr">
        <is>
          <t>USD</t>
        </is>
      </c>
      <c r="D9" s="22" t="n">
        <v>3918</v>
      </c>
      <c r="E9" s="22" t="n">
        <v>2916</v>
      </c>
      <c r="F9" s="23" t="inlineStr">
        <is>
          <t>Fixed</t>
        </is>
      </c>
      <c r="G9" s="24" t="n">
        <v>0.046</v>
      </c>
      <c r="H9" s="24" t="n">
        <v>0</v>
      </c>
      <c r="I9" s="25" t="n">
        <v>47879</v>
      </c>
      <c r="J9" s="23" t="inlineStr">
        <is>
          <t>IFRS 16/ASC 842 schedule</t>
        </is>
      </c>
      <c r="K9" s="26">
        <f>IFERROR(-PMT(G9/12,MAX(1,ROUND((I9-DATE(2026,1,31))/30,0)),E9),0)</f>
        <v/>
      </c>
      <c r="L9" s="27" t="n">
        <v>4</v>
      </c>
      <c r="M9" s="11" t="inlineStr">
        <is>
          <t>Leasehold</t>
        </is>
      </c>
      <c r="N9" s="11" t="inlineStr">
        <is>
          <t>https://www.ifrs.org</t>
        </is>
      </c>
    </row>
    <row r="10">
      <c r="A10" s="11" t="inlineStr">
        <is>
          <t>Fleet Financing</t>
        </is>
      </c>
      <c r="B10" s="11" t="inlineStr">
        <is>
          <t>Wells Fargo</t>
        </is>
      </c>
      <c r="C10" s="11" t="inlineStr">
        <is>
          <t>USD</t>
        </is>
      </c>
      <c r="D10" s="22" t="n">
        <v>3280</v>
      </c>
      <c r="E10" s="22" t="n">
        <v>1959</v>
      </c>
      <c r="F10" s="23" t="inlineStr">
        <is>
          <t>Floating</t>
        </is>
      </c>
      <c r="G10" s="24" t="n">
        <v>0.0625</v>
      </c>
      <c r="H10" s="24" t="n">
        <v>0.0195</v>
      </c>
      <c r="I10" s="25" t="n">
        <v>47087</v>
      </c>
      <c r="J10" s="23" t="inlineStr">
        <is>
          <t>54-month amortizing</t>
        </is>
      </c>
      <c r="K10" s="26">
        <f>IFERROR(-PMT(G10/12,MAX(1,ROUND((I10-DATE(2026,1,31))/30,0)),E10),0)</f>
        <v/>
      </c>
      <c r="L10" s="27" t="n">
        <v>4.25</v>
      </c>
      <c r="M10" s="11" t="inlineStr">
        <is>
          <t>Secured by vehicles</t>
        </is>
      </c>
      <c r="N10" s="11" t="inlineStr">
        <is>
          <t>https://www.federalreserve.gov</t>
        </is>
      </c>
    </row>
    <row r="11">
      <c r="A11" s="16" t="inlineStr">
        <is>
          <t>Total Debt / Lease Exposure</t>
        </is>
      </c>
      <c r="B11" s="20" t="n"/>
      <c r="C11" s="20" t="n"/>
      <c r="D11" s="21">
        <f>SUM(D5:D10)</f>
        <v/>
      </c>
      <c r="E11" s="21">
        <f>SUM(E5:E10)</f>
        <v/>
      </c>
      <c r="F11" s="20" t="n"/>
      <c r="G11" s="20" t="n"/>
      <c r="H11" s="20" t="n"/>
      <c r="I11" s="20" t="n"/>
      <c r="J11" s="20" t="n"/>
      <c r="K11" s="21">
        <f>SUM(K5:K10)</f>
        <v/>
      </c>
      <c r="L11" s="20" t="n"/>
      <c r="M11" s="20" t="n"/>
      <c r="N11" s="20" t="n"/>
    </row>
    <row r="12">
      <c r="A12" s="13" t="inlineStr">
        <is>
          <t>Weighted Average Interest Rate</t>
        </is>
      </c>
      <c r="B12" s="11" t="n"/>
      <c r="C12" s="11" t="n"/>
      <c r="D12" s="11" t="n"/>
      <c r="E12" s="11" t="n"/>
      <c r="F12" s="11" t="n"/>
      <c r="G12" s="28">
        <f>SUMPRODUCT(E5:E10,G5:G10)/SUM(E5:E10)</f>
        <v/>
      </c>
      <c r="H12" s="11" t="n"/>
      <c r="I12" s="11" t="n"/>
      <c r="J12" s="11" t="n"/>
      <c r="K12" s="11" t="n"/>
      <c r="L12" s="11" t="n"/>
      <c r="M12" s="11" t="n"/>
      <c r="N12" s="11" t="n"/>
    </row>
    <row r="14">
      <c r="A14" s="10" t="inlineStr">
        <is>
          <t>Debt Service Coverage Ratio (DSCR) - Case A (Expected Below 1.0x)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>
      <c r="A15" s="13" t="inlineStr">
        <is>
          <t>Annualized EBITDA (Base)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9">
        <f>'P&amp;L'!E20*12</f>
        <v/>
      </c>
      <c r="L15" s="11" t="n"/>
      <c r="M15" s="11" t="n"/>
      <c r="N15" s="11" t="n"/>
    </row>
    <row r="16">
      <c r="A16" s="13" t="inlineStr">
        <is>
          <t>Stress Haircut Applied to EBITDA</t>
        </is>
      </c>
      <c r="B16" s="43" t="n">
        <v>0.2</v>
      </c>
      <c r="C16" s="11" t="n"/>
      <c r="D16" s="11" t="n"/>
      <c r="E16" s="11" t="n"/>
      <c r="F16" s="11" t="n"/>
      <c r="G16" s="11" t="n"/>
      <c r="H16" s="11" t="n"/>
      <c r="I16" s="11" t="n"/>
      <c r="J16" s="11" t="n"/>
      <c r="K16" s="44" t="n"/>
      <c r="L16" s="11" t="n"/>
      <c r="M16" s="11" t="n"/>
      <c r="N16" s="11" t="n"/>
    </row>
    <row r="17">
      <c r="A17" s="13" t="inlineStr">
        <is>
          <t>Annualized EBITDA (Stressed)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9">
        <f>K15*B16</f>
        <v/>
      </c>
      <c r="L17" s="11" t="n"/>
      <c r="M17" s="11" t="n"/>
      <c r="N17" s="11" t="n"/>
    </row>
    <row r="18">
      <c r="A18" s="13" t="inlineStr">
        <is>
          <t>Annual Debt Service</t>
        </is>
      </c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9">
        <f>K11*12</f>
        <v/>
      </c>
      <c r="L18" s="11" t="n"/>
      <c r="M18" s="11" t="n"/>
      <c r="N18" s="11" t="n"/>
    </row>
    <row r="19">
      <c r="A19" s="13" t="inlineStr">
        <is>
          <t>DSCR (Stressed EBITDA / Debt Service)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45">
        <f>IFERROR(K17/K18,0)</f>
        <v/>
      </c>
      <c r="L19" s="11" t="n"/>
      <c r="M19" s="11" t="n"/>
      <c r="N19" s="11" t="n"/>
    </row>
    <row r="20">
      <c r="A20" s="16" t="inlineStr">
        <is>
          <t>DSCR Target Threshold</t>
        </is>
      </c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46" t="n">
        <v>1</v>
      </c>
      <c r="L20" s="20" t="n"/>
      <c r="M20" s="20" t="n"/>
      <c r="N20" s="20" t="n"/>
    </row>
    <row r="21">
      <c r="A21" s="16" t="inlineStr">
        <is>
          <t>Target Test Result</t>
        </is>
      </c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47">
        <f>IF(K19&gt;=K20,"PASS","FAIL")</f>
        <v/>
      </c>
      <c r="L21" s="20" t="n"/>
      <c r="M21" s="20" t="n"/>
      <c r="N21" s="20" t="n"/>
    </row>
  </sheetData>
  <autoFilter ref="A4:N21"/>
  <mergeCells count="3">
    <mergeCell ref="A14:N14"/>
    <mergeCell ref="A2:N2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Trial Balance</t>
        </is>
      </c>
    </row>
    <row r="2">
      <c r="A2" s="2" t="inlineStr">
        <is>
          <t>As of 2026-01-31 (USD $000)</t>
        </is>
      </c>
    </row>
    <row r="4">
      <c r="A4" s="3" t="inlineStr">
        <is>
          <t>Account #</t>
        </is>
      </c>
      <c r="B4" s="3" t="inlineStr">
        <is>
          <t>Account Name</t>
        </is>
      </c>
      <c r="C4" s="3" t="inlineStr">
        <is>
          <t>Debit</t>
        </is>
      </c>
      <c r="D4" s="3" t="inlineStr">
        <is>
          <t>Credit</t>
        </is>
      </c>
      <c r="E4" s="3" t="inlineStr">
        <is>
          <t>Net Balance</t>
        </is>
      </c>
      <c r="F4" s="3" t="inlineStr">
        <is>
          <t>Type</t>
        </is>
      </c>
    </row>
    <row r="5">
      <c r="A5" s="11" t="inlineStr">
        <is>
          <t>1000</t>
        </is>
      </c>
      <c r="B5" s="11" t="inlineStr">
        <is>
          <t>Cash &amp; Equivalents</t>
        </is>
      </c>
      <c r="C5" s="19" t="n">
        <v>35660</v>
      </c>
      <c r="D5" s="19" t="n">
        <v>0</v>
      </c>
      <c r="E5" s="19">
        <f>C5-D5</f>
        <v/>
      </c>
      <c r="F5" s="11" t="inlineStr">
        <is>
          <t>Asset</t>
        </is>
      </c>
    </row>
    <row r="6">
      <c r="A6" s="11" t="inlineStr">
        <is>
          <t>1100</t>
        </is>
      </c>
      <c r="B6" s="11" t="inlineStr">
        <is>
          <t>Accounts Receivable</t>
        </is>
      </c>
      <c r="C6" s="19" t="n">
        <v>11754</v>
      </c>
      <c r="D6" s="19" t="n">
        <v>0</v>
      </c>
      <c r="E6" s="19">
        <f>C6-D6</f>
        <v/>
      </c>
      <c r="F6" s="11" t="inlineStr">
        <is>
          <t>Asset</t>
        </is>
      </c>
    </row>
    <row r="7">
      <c r="A7" s="11" t="inlineStr">
        <is>
          <t>1200</t>
        </is>
      </c>
      <c r="B7" s="11" t="inlineStr">
        <is>
          <t>Inventory</t>
        </is>
      </c>
      <c r="C7" s="19" t="n">
        <v>2369</v>
      </c>
      <c r="D7" s="19" t="n">
        <v>0</v>
      </c>
      <c r="E7" s="19">
        <f>C7-D7</f>
        <v/>
      </c>
      <c r="F7" s="11" t="inlineStr">
        <is>
          <t>Asset</t>
        </is>
      </c>
    </row>
    <row r="8">
      <c r="A8" s="11" t="inlineStr">
        <is>
          <t>1300</t>
        </is>
      </c>
      <c r="B8" s="11" t="inlineStr">
        <is>
          <t>Prepaid Expenses</t>
        </is>
      </c>
      <c r="C8" s="19" t="n">
        <v>1002</v>
      </c>
      <c r="D8" s="19" t="n">
        <v>0</v>
      </c>
      <c r="E8" s="19">
        <f>C8-D8</f>
        <v/>
      </c>
      <c r="F8" s="11" t="inlineStr">
        <is>
          <t>Asset</t>
        </is>
      </c>
    </row>
    <row r="9">
      <c r="A9" s="11" t="inlineStr">
        <is>
          <t>1500</t>
        </is>
      </c>
      <c r="B9" s="11" t="inlineStr">
        <is>
          <t>Property, Plant &amp; Equipment (Net)</t>
        </is>
      </c>
      <c r="C9" s="19" t="n">
        <v>27380</v>
      </c>
      <c r="D9" s="19" t="n">
        <v>0</v>
      </c>
      <c r="E9" s="19">
        <f>C9-D9</f>
        <v/>
      </c>
      <c r="F9" s="11" t="inlineStr">
        <is>
          <t>Asset</t>
        </is>
      </c>
    </row>
    <row r="10">
      <c r="A10" s="11" t="inlineStr">
        <is>
          <t>1510</t>
        </is>
      </c>
      <c r="B10" s="11" t="inlineStr">
        <is>
          <t>Right-of-Use Assets</t>
        </is>
      </c>
      <c r="C10" s="19" t="n">
        <v>4374</v>
      </c>
      <c r="D10" s="19" t="n">
        <v>0</v>
      </c>
      <c r="E10" s="19">
        <f>C10-D10</f>
        <v/>
      </c>
      <c r="F10" s="11" t="inlineStr">
        <is>
          <t>Asset</t>
        </is>
      </c>
    </row>
    <row r="11">
      <c r="A11" s="11" t="inlineStr">
        <is>
          <t>1600</t>
        </is>
      </c>
      <c r="B11" s="11" t="inlineStr">
        <is>
          <t>Intangible Assets</t>
        </is>
      </c>
      <c r="C11" s="19" t="n">
        <v>3098</v>
      </c>
      <c r="D11" s="19" t="n">
        <v>0</v>
      </c>
      <c r="E11" s="19">
        <f>C11-D11</f>
        <v/>
      </c>
      <c r="F11" s="11" t="inlineStr">
        <is>
          <t>Asset</t>
        </is>
      </c>
    </row>
    <row r="12">
      <c r="A12" s="11" t="inlineStr">
        <is>
          <t>1700</t>
        </is>
      </c>
      <c r="B12" s="11" t="inlineStr">
        <is>
          <t>Other Non-Current Assets</t>
        </is>
      </c>
      <c r="C12" s="19" t="n">
        <v>1549</v>
      </c>
      <c r="D12" s="19" t="n">
        <v>0</v>
      </c>
      <c r="E12" s="19">
        <f>C12-D12</f>
        <v/>
      </c>
      <c r="F12" s="11" t="inlineStr">
        <is>
          <t>Asset</t>
        </is>
      </c>
    </row>
    <row r="13">
      <c r="A13" s="11" t="inlineStr">
        <is>
          <t>2000</t>
        </is>
      </c>
      <c r="B13" s="11" t="inlineStr">
        <is>
          <t>Accounts Payable</t>
        </is>
      </c>
      <c r="C13" s="19" t="n">
        <v>0</v>
      </c>
      <c r="D13" s="19" t="n">
        <v>8474</v>
      </c>
      <c r="E13" s="19">
        <f>C13-D13</f>
        <v/>
      </c>
      <c r="F13" s="11" t="inlineStr">
        <is>
          <t>Liability</t>
        </is>
      </c>
    </row>
    <row r="14">
      <c r="A14" s="11" t="inlineStr">
        <is>
          <t>2100</t>
        </is>
      </c>
      <c r="B14" s="11" t="inlineStr">
        <is>
          <t>Accrued Expenses</t>
        </is>
      </c>
      <c r="C14" s="19" t="n">
        <v>0</v>
      </c>
      <c r="D14" s="19" t="n">
        <v>5421</v>
      </c>
      <c r="E14" s="19">
        <f>C14-D14</f>
        <v/>
      </c>
      <c r="F14" s="11" t="inlineStr">
        <is>
          <t>Liability</t>
        </is>
      </c>
    </row>
    <row r="15">
      <c r="A15" s="11" t="inlineStr">
        <is>
          <t>2200</t>
        </is>
      </c>
      <c r="B15" s="11" t="inlineStr">
        <is>
          <t>Current Portion LT Debt</t>
        </is>
      </c>
      <c r="C15" s="19" t="n">
        <v>0</v>
      </c>
      <c r="D15" s="19" t="n">
        <v>2278</v>
      </c>
      <c r="E15" s="19">
        <f>C15-D15</f>
        <v/>
      </c>
      <c r="F15" s="11" t="inlineStr">
        <is>
          <t>Liability</t>
        </is>
      </c>
    </row>
    <row r="16">
      <c r="A16" s="11" t="inlineStr">
        <is>
          <t>2210</t>
        </is>
      </c>
      <c r="B16" s="11" t="inlineStr">
        <is>
          <t>Current Lease Liabilities</t>
        </is>
      </c>
      <c r="C16" s="19" t="n">
        <v>0</v>
      </c>
      <c r="D16" s="19" t="n">
        <v>1048</v>
      </c>
      <c r="E16" s="19">
        <f>C16-D16</f>
        <v/>
      </c>
      <c r="F16" s="11" t="inlineStr">
        <is>
          <t>Liability</t>
        </is>
      </c>
    </row>
    <row r="17">
      <c r="A17" s="11" t="inlineStr">
        <is>
          <t>2300</t>
        </is>
      </c>
      <c r="B17" s="11" t="inlineStr">
        <is>
          <t>Long-Term Debt</t>
        </is>
      </c>
      <c r="C17" s="19" t="n">
        <v>0</v>
      </c>
      <c r="D17" s="19" t="n">
        <v>13257</v>
      </c>
      <c r="E17" s="19">
        <f>C17-D17</f>
        <v/>
      </c>
      <c r="F17" s="11" t="inlineStr">
        <is>
          <t>Liability</t>
        </is>
      </c>
    </row>
    <row r="18">
      <c r="A18" s="11" t="inlineStr">
        <is>
          <t>2310</t>
        </is>
      </c>
      <c r="B18" s="11" t="inlineStr">
        <is>
          <t>Non-Current Lease Liabilities</t>
        </is>
      </c>
      <c r="C18" s="19" t="n">
        <v>0</v>
      </c>
      <c r="D18" s="19" t="n">
        <v>3144</v>
      </c>
      <c r="E18" s="19">
        <f>C18-D18</f>
        <v/>
      </c>
      <c r="F18" s="11" t="inlineStr">
        <is>
          <t>Liability</t>
        </is>
      </c>
    </row>
    <row r="19">
      <c r="A19" s="11" t="inlineStr">
        <is>
          <t>2400</t>
        </is>
      </c>
      <c r="B19" s="11" t="inlineStr">
        <is>
          <t>Deferred Tax Liabilities</t>
        </is>
      </c>
      <c r="C19" s="19" t="n">
        <v>0</v>
      </c>
      <c r="D19" s="19" t="n">
        <v>1002</v>
      </c>
      <c r="E19" s="19">
        <f>C19-D19</f>
        <v/>
      </c>
      <c r="F19" s="11" t="inlineStr">
        <is>
          <t>Liability</t>
        </is>
      </c>
    </row>
    <row r="20">
      <c r="A20" s="11" t="inlineStr">
        <is>
          <t>3000</t>
        </is>
      </c>
      <c r="B20" s="11" t="inlineStr">
        <is>
          <t>Common Stock</t>
        </is>
      </c>
      <c r="C20" s="19" t="n">
        <v>0</v>
      </c>
      <c r="D20" s="19" t="n">
        <v>4100</v>
      </c>
      <c r="E20" s="19">
        <f>C20-D20</f>
        <v/>
      </c>
      <c r="F20" s="11" t="inlineStr">
        <is>
          <t>Equity</t>
        </is>
      </c>
    </row>
    <row r="21">
      <c r="A21" s="11" t="inlineStr">
        <is>
          <t>3100</t>
        </is>
      </c>
      <c r="B21" s="11" t="inlineStr">
        <is>
          <t>Retained Earnings</t>
        </is>
      </c>
      <c r="C21" s="19" t="n">
        <v>0</v>
      </c>
      <c r="D21" s="19" t="n">
        <v>47288</v>
      </c>
      <c r="E21" s="19">
        <f>C21-D21</f>
        <v/>
      </c>
      <c r="F21" s="11" t="inlineStr">
        <is>
          <t>Equity</t>
        </is>
      </c>
    </row>
    <row r="22">
      <c r="A22" s="11" t="inlineStr">
        <is>
          <t>3200</t>
        </is>
      </c>
      <c r="B22" s="11" t="inlineStr">
        <is>
          <t>Accumulated OCI</t>
        </is>
      </c>
      <c r="C22" s="19" t="n">
        <v>137</v>
      </c>
      <c r="D22" s="19" t="n">
        <v>0</v>
      </c>
      <c r="E22" s="19">
        <f>C22-D22</f>
        <v/>
      </c>
      <c r="F22" s="11" t="inlineStr">
        <is>
          <t>Equity</t>
        </is>
      </c>
    </row>
    <row r="23">
      <c r="A23" s="11" t="inlineStr">
        <is>
          <t>4000</t>
        </is>
      </c>
      <c r="B23" s="11" t="inlineStr">
        <is>
          <t>Linehaul Revenue</t>
        </is>
      </c>
      <c r="C23" s="19" t="n">
        <v>0</v>
      </c>
      <c r="D23" s="19" t="n">
        <v>6287</v>
      </c>
      <c r="E23" s="19">
        <f>C23-D23</f>
        <v/>
      </c>
      <c r="F23" s="11" t="inlineStr">
        <is>
          <t>Revenue</t>
        </is>
      </c>
    </row>
    <row r="24">
      <c r="A24" s="11" t="inlineStr">
        <is>
          <t>4010</t>
        </is>
      </c>
      <c r="B24" s="11" t="inlineStr">
        <is>
          <t>Warehousing Revenue</t>
        </is>
      </c>
      <c r="C24" s="19" t="n">
        <v>0</v>
      </c>
      <c r="D24" s="19" t="n">
        <v>1595</v>
      </c>
      <c r="E24" s="19">
        <f>C24-D24</f>
        <v/>
      </c>
      <c r="F24" s="11" t="inlineStr">
        <is>
          <t>Revenue</t>
        </is>
      </c>
    </row>
    <row r="25">
      <c r="A25" s="11" t="inlineStr">
        <is>
          <t>4020</t>
        </is>
      </c>
      <c r="B25" s="11" t="inlineStr">
        <is>
          <t>Customs &amp; Other Revenue</t>
        </is>
      </c>
      <c r="C25" s="19" t="n">
        <v>0</v>
      </c>
      <c r="D25" s="19" t="n">
        <v>774</v>
      </c>
      <c r="E25" s="19">
        <f>C25-D25</f>
        <v/>
      </c>
      <c r="F25" s="11" t="inlineStr">
        <is>
          <t>Revenue</t>
        </is>
      </c>
    </row>
    <row r="26">
      <c r="A26" s="11" t="inlineStr">
        <is>
          <t>5000</t>
        </is>
      </c>
      <c r="B26" s="11" t="inlineStr">
        <is>
          <t>Linehaul &amp; Delivery Costs</t>
        </is>
      </c>
      <c r="C26" s="19" t="n">
        <v>3576</v>
      </c>
      <c r="D26" s="19" t="n">
        <v>0</v>
      </c>
      <c r="E26" s="19">
        <f>C26-D26</f>
        <v/>
      </c>
      <c r="F26" s="11" t="inlineStr">
        <is>
          <t>Expense</t>
        </is>
      </c>
    </row>
    <row r="27">
      <c r="A27" s="11" t="inlineStr">
        <is>
          <t>5010</t>
        </is>
      </c>
      <c r="B27" s="11" t="inlineStr">
        <is>
          <t>Fuel Costs</t>
        </is>
      </c>
      <c r="C27" s="19" t="n">
        <v>802</v>
      </c>
      <c r="D27" s="19" t="n">
        <v>0</v>
      </c>
      <c r="E27" s="19">
        <f>C27-D27</f>
        <v/>
      </c>
      <c r="F27" s="11" t="inlineStr">
        <is>
          <t>Expense</t>
        </is>
      </c>
    </row>
    <row r="28">
      <c r="A28" s="11" t="inlineStr">
        <is>
          <t>5020</t>
        </is>
      </c>
      <c r="B28" s="11" t="inlineStr">
        <is>
          <t>Labor &amp; Benefits</t>
        </is>
      </c>
      <c r="C28" s="19" t="n">
        <v>1194</v>
      </c>
      <c r="D28" s="19" t="n">
        <v>0</v>
      </c>
      <c r="E28" s="19">
        <f>C28-D28</f>
        <v/>
      </c>
      <c r="F28" s="11" t="inlineStr">
        <is>
          <t>Expense</t>
        </is>
      </c>
    </row>
    <row r="29">
      <c r="A29" s="11" t="inlineStr">
        <is>
          <t>5030</t>
        </is>
      </c>
      <c r="B29" s="11" t="inlineStr">
        <is>
          <t>Facility &amp; Warehouse</t>
        </is>
      </c>
      <c r="C29" s="19" t="n">
        <v>419</v>
      </c>
      <c r="D29" s="19" t="n">
        <v>0</v>
      </c>
      <c r="E29" s="19">
        <f>C29-D29</f>
        <v/>
      </c>
      <c r="F29" s="11" t="inlineStr">
        <is>
          <t>Expense</t>
        </is>
      </c>
    </row>
    <row r="30">
      <c r="A30" s="11" t="inlineStr">
        <is>
          <t>5040</t>
        </is>
      </c>
      <c r="B30" s="11" t="inlineStr">
        <is>
          <t>Technology &amp; Communications</t>
        </is>
      </c>
      <c r="C30" s="19" t="n">
        <v>205</v>
      </c>
      <c r="D30" s="19" t="n">
        <v>0</v>
      </c>
      <c r="E30" s="19">
        <f>C30-D30</f>
        <v/>
      </c>
      <c r="F30" s="11" t="inlineStr">
        <is>
          <t>Expense</t>
        </is>
      </c>
    </row>
    <row r="31">
      <c r="A31" s="11" t="inlineStr">
        <is>
          <t>5050</t>
        </is>
      </c>
      <c r="B31" s="11" t="inlineStr">
        <is>
          <t>General &amp; Administrative</t>
        </is>
      </c>
      <c r="C31" s="19" t="n">
        <v>369</v>
      </c>
      <c r="D31" s="19" t="n">
        <v>0</v>
      </c>
      <c r="E31" s="19">
        <f>C31-D31</f>
        <v/>
      </c>
      <c r="F31" s="11" t="inlineStr">
        <is>
          <t>Expense</t>
        </is>
      </c>
    </row>
    <row r="32">
      <c r="A32" s="11" t="inlineStr">
        <is>
          <t>5100</t>
        </is>
      </c>
      <c r="B32" s="11" t="inlineStr">
        <is>
          <t>Depreciation &amp; Amortization</t>
        </is>
      </c>
      <c r="C32" s="19" t="n">
        <v>200</v>
      </c>
      <c r="D32" s="19" t="n">
        <v>0</v>
      </c>
      <c r="E32" s="19">
        <f>C32-D32</f>
        <v/>
      </c>
      <c r="F32" s="11" t="inlineStr">
        <is>
          <t>Expense</t>
        </is>
      </c>
    </row>
    <row r="33">
      <c r="A33" s="11" t="inlineStr">
        <is>
          <t>5200</t>
        </is>
      </c>
      <c r="B33" s="11" t="inlineStr">
        <is>
          <t>Interest Expense</t>
        </is>
      </c>
      <c r="C33" s="19" t="n">
        <v>100</v>
      </c>
      <c r="D33" s="19" t="n">
        <v>0</v>
      </c>
      <c r="E33" s="19">
        <f>C33-D33</f>
        <v/>
      </c>
      <c r="F33" s="11" t="inlineStr">
        <is>
          <t>Expense</t>
        </is>
      </c>
    </row>
    <row r="34">
      <c r="A34" s="11" t="inlineStr">
        <is>
          <t>5300</t>
        </is>
      </c>
      <c r="B34" s="11" t="inlineStr">
        <is>
          <t>Other Income</t>
        </is>
      </c>
      <c r="C34" s="19" t="n">
        <v>0</v>
      </c>
      <c r="D34" s="19" t="n">
        <v>5</v>
      </c>
      <c r="E34" s="19">
        <f>C34-D34</f>
        <v/>
      </c>
      <c r="F34" s="11" t="inlineStr">
        <is>
          <t>Revenue</t>
        </is>
      </c>
    </row>
    <row r="35">
      <c r="A35" s="11" t="inlineStr">
        <is>
          <t>5400</t>
        </is>
      </c>
      <c r="B35" s="11" t="inlineStr">
        <is>
          <t>Income Tax Expense</t>
        </is>
      </c>
      <c r="C35" s="19" t="n">
        <v>485</v>
      </c>
      <c r="D35" s="19" t="n">
        <v>0</v>
      </c>
      <c r="E35" s="19">
        <f>C35-D35</f>
        <v/>
      </c>
      <c r="F35" s="11" t="inlineStr">
        <is>
          <t>Expense</t>
        </is>
      </c>
    </row>
    <row r="36">
      <c r="A36" s="20" t="n"/>
      <c r="B36" s="16" t="inlineStr">
        <is>
          <t>Total</t>
        </is>
      </c>
      <c r="C36" s="21">
        <f>SUM(C5:C35)</f>
        <v/>
      </c>
      <c r="D36" s="21">
        <f>SUM(D5:D35)</f>
        <v/>
      </c>
      <c r="E36" s="21">
        <f>C36-D36</f>
        <v/>
      </c>
      <c r="F36" s="20" t="n"/>
    </row>
    <row r="37">
      <c r="A37" s="20" t="n"/>
      <c r="B37" s="16" t="inlineStr">
        <is>
          <t>Balance Check (should be 0)</t>
        </is>
      </c>
      <c r="C37" s="20" t="n"/>
      <c r="D37" s="20" t="n"/>
      <c r="E37" s="21">
        <f>C36-D36</f>
        <v/>
      </c>
      <c r="F37" s="20" t="n"/>
    </row>
  </sheetData>
  <autoFilter ref="A4:F37"/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28" customWidth="1" min="4" max="4"/>
    <col width="10" customWidth="1" min="5" max="5"/>
    <col width="14" customWidth="1" min="6" max="6"/>
    <col width="36" customWidth="1" min="7" max="7"/>
    <col width="12" customWidth="1" min="8" max="8"/>
    <col width="12" customWidth="1" min="9" max="9"/>
    <col width="16" customWidth="1" min="10" max="10"/>
    <col width="40" customWidth="1" min="11" max="11"/>
  </cols>
  <sheetData>
    <row r="1">
      <c r="A1" s="1" t="inlineStr">
        <is>
          <t>General Ledger Detail</t>
        </is>
      </c>
    </row>
    <row r="2">
      <c r="A2" s="2" t="inlineStr">
        <is>
          <t>YTD journal detail through 2026-01-31 (USD $000)</t>
        </is>
      </c>
    </row>
    <row r="4">
      <c r="A4" s="3" t="inlineStr">
        <is>
          <t>Journal Date</t>
        </is>
      </c>
      <c r="B4" s="3" t="inlineStr">
        <is>
          <t>Journal ID</t>
        </is>
      </c>
      <c r="C4" s="3" t="inlineStr">
        <is>
          <t>Account #</t>
        </is>
      </c>
      <c r="D4" s="3" t="inlineStr">
        <is>
          <t>Account Name</t>
        </is>
      </c>
      <c r="E4" s="3" t="inlineStr">
        <is>
          <t>Entity</t>
        </is>
      </c>
      <c r="F4" s="3" t="inlineStr">
        <is>
          <t>Department</t>
        </is>
      </c>
      <c r="G4" s="3" t="inlineStr">
        <is>
          <t>Description</t>
        </is>
      </c>
      <c r="H4" s="3" t="inlineStr">
        <is>
          <t>Debit</t>
        </is>
      </c>
      <c r="I4" s="3" t="inlineStr">
        <is>
          <t>Credit</t>
        </is>
      </c>
      <c r="J4" s="3" t="inlineStr">
        <is>
          <t>Running Balance</t>
        </is>
      </c>
      <c r="K4" s="3" t="inlineStr">
        <is>
          <t>Source URL</t>
        </is>
      </c>
    </row>
    <row r="5">
      <c r="A5" s="18" t="n">
        <v>46024</v>
      </c>
      <c r="B5" s="11" t="inlineStr">
        <is>
          <t>J260001</t>
        </is>
      </c>
      <c r="C5" s="11" t="inlineStr">
        <is>
          <t>1100</t>
        </is>
      </c>
      <c r="D5" s="11" t="inlineStr">
        <is>
          <t>Accounts Receivable</t>
        </is>
      </c>
      <c r="E5" s="11" t="inlineStr">
        <is>
          <t>US</t>
        </is>
      </c>
      <c r="F5" s="11" t="inlineStr">
        <is>
          <t>Linehaul</t>
        </is>
      </c>
      <c r="G5" s="11" t="inlineStr">
        <is>
          <t>Weekly freight billing</t>
        </is>
      </c>
      <c r="H5" s="19" t="n">
        <v>843</v>
      </c>
      <c r="I5" s="19" t="n">
        <v>0</v>
      </c>
      <c r="J5" s="19">
        <f>IF(ROW()=5,H5-I5,J4+H5-I5)</f>
        <v/>
      </c>
      <c r="K5" s="11" t="inlineStr">
        <is>
          <t>https://www.apexlogistics.example/internal/gl-detail-2026-ytd</t>
        </is>
      </c>
    </row>
    <row r="6">
      <c r="A6" s="18" t="n">
        <v>46024</v>
      </c>
      <c r="B6" s="11" t="inlineStr">
        <is>
          <t>J260001</t>
        </is>
      </c>
      <c r="C6" s="11" t="inlineStr">
        <is>
          <t>4000</t>
        </is>
      </c>
      <c r="D6" s="11" t="inlineStr">
        <is>
          <t>Linehaul Revenue</t>
        </is>
      </c>
      <c r="E6" s="11" t="inlineStr">
        <is>
          <t>US</t>
        </is>
      </c>
      <c r="F6" s="11" t="inlineStr">
        <is>
          <t>Linehaul</t>
        </is>
      </c>
      <c r="G6" s="11" t="inlineStr">
        <is>
          <t>Weekly freight billing</t>
        </is>
      </c>
      <c r="H6" s="19" t="n">
        <v>0</v>
      </c>
      <c r="I6" s="19" t="n">
        <v>843</v>
      </c>
      <c r="J6" s="19">
        <f>IF(ROW()=5,H5-I5,J5+H6-I6)</f>
        <v/>
      </c>
      <c r="K6" s="11" t="inlineStr">
        <is>
          <t>https://www.apexlogistics.example/internal/gl-detail-2026-ytd</t>
        </is>
      </c>
    </row>
    <row r="7">
      <c r="A7" s="18" t="n">
        <v>46025</v>
      </c>
      <c r="B7" s="11" t="inlineStr">
        <is>
          <t>J260002</t>
        </is>
      </c>
      <c r="C7" s="11" t="inlineStr">
        <is>
          <t>1000</t>
        </is>
      </c>
      <c r="D7" s="11" t="inlineStr">
        <is>
          <t>Cash &amp; Equivalents</t>
        </is>
      </c>
      <c r="E7" s="11" t="inlineStr">
        <is>
          <t>US</t>
        </is>
      </c>
      <c r="F7" s="11" t="inlineStr">
        <is>
          <t>Treasury</t>
        </is>
      </c>
      <c r="G7" s="11" t="inlineStr">
        <is>
          <t>Customer remittance lockbox</t>
        </is>
      </c>
      <c r="H7" s="19" t="n">
        <v>738</v>
      </c>
      <c r="I7" s="19" t="n">
        <v>0</v>
      </c>
      <c r="J7" s="19">
        <f>IF(ROW()=5,H5-I5,J6+H7-I7)</f>
        <v/>
      </c>
      <c r="K7" s="11" t="inlineStr">
        <is>
          <t>https://www.apexlogistics.example/internal/gl-detail-2026-ytd</t>
        </is>
      </c>
    </row>
    <row r="8">
      <c r="A8" s="18" t="n">
        <v>46025</v>
      </c>
      <c r="B8" s="11" t="inlineStr">
        <is>
          <t>J260002</t>
        </is>
      </c>
      <c r="C8" s="11" t="inlineStr">
        <is>
          <t>1100</t>
        </is>
      </c>
      <c r="D8" s="11" t="inlineStr">
        <is>
          <t>Accounts Receivable</t>
        </is>
      </c>
      <c r="E8" s="11" t="inlineStr">
        <is>
          <t>US</t>
        </is>
      </c>
      <c r="F8" s="11" t="inlineStr">
        <is>
          <t>Linehaul</t>
        </is>
      </c>
      <c r="G8" s="11" t="inlineStr">
        <is>
          <t>Customer remittance lockbox</t>
        </is>
      </c>
      <c r="H8" s="19" t="n">
        <v>0</v>
      </c>
      <c r="I8" s="19" t="n">
        <v>738</v>
      </c>
      <c r="J8" s="19">
        <f>IF(ROW()=5,H5-I5,J7+H8-I8)</f>
        <v/>
      </c>
      <c r="K8" s="11" t="inlineStr">
        <is>
          <t>https://www.apexlogistics.example/internal/gl-detail-2026-ytd</t>
        </is>
      </c>
    </row>
    <row r="9">
      <c r="A9" s="18" t="n">
        <v>46026</v>
      </c>
      <c r="B9" s="11" t="inlineStr">
        <is>
          <t>J260003</t>
        </is>
      </c>
      <c r="C9" s="11" t="inlineStr">
        <is>
          <t>5010</t>
        </is>
      </c>
      <c r="D9" s="11" t="inlineStr">
        <is>
          <t>Fuel Costs</t>
        </is>
      </c>
      <c r="E9" s="11" t="inlineStr">
        <is>
          <t>US</t>
        </is>
      </c>
      <c r="F9" s="11" t="inlineStr">
        <is>
          <t>Linehaul</t>
        </is>
      </c>
      <c r="G9" s="11" t="inlineStr">
        <is>
          <t>Fuel card settlement</t>
        </is>
      </c>
      <c r="H9" s="19" t="n">
        <v>141</v>
      </c>
      <c r="I9" s="19" t="n">
        <v>0</v>
      </c>
      <c r="J9" s="19">
        <f>IF(ROW()=5,H5-I5,J8+H9-I9)</f>
        <v/>
      </c>
      <c r="K9" s="11" t="inlineStr">
        <is>
          <t>https://www.apexlogistics.example/internal/gl-detail-2026-ytd</t>
        </is>
      </c>
    </row>
    <row r="10">
      <c r="A10" s="18" t="n">
        <v>46026</v>
      </c>
      <c r="B10" s="11" t="inlineStr">
        <is>
          <t>J260003</t>
        </is>
      </c>
      <c r="C10" s="11" t="inlineStr">
        <is>
          <t>2000</t>
        </is>
      </c>
      <c r="D10" s="11" t="inlineStr">
        <is>
          <t>Accounts Payable</t>
        </is>
      </c>
      <c r="E10" s="11" t="inlineStr">
        <is>
          <t>US</t>
        </is>
      </c>
      <c r="F10" s="11" t="inlineStr">
        <is>
          <t>Linehaul</t>
        </is>
      </c>
      <c r="G10" s="11" t="inlineStr">
        <is>
          <t>Fuel card settlement</t>
        </is>
      </c>
      <c r="H10" s="19" t="n">
        <v>0</v>
      </c>
      <c r="I10" s="19" t="n">
        <v>141</v>
      </c>
      <c r="J10" s="19">
        <f>IF(ROW()=5,H5-I5,J9+H10-I10)</f>
        <v/>
      </c>
      <c r="K10" s="11" t="inlineStr">
        <is>
          <t>https://www.apexlogistics.example/internal/gl-detail-2026-ytd</t>
        </is>
      </c>
    </row>
    <row r="11">
      <c r="A11" s="18" t="n">
        <v>46027</v>
      </c>
      <c r="B11" s="11" t="inlineStr">
        <is>
          <t>J260004</t>
        </is>
      </c>
      <c r="C11" s="11" t="inlineStr">
        <is>
          <t>5020</t>
        </is>
      </c>
      <c r="D11" s="11" t="inlineStr">
        <is>
          <t>Labor &amp; Benefits</t>
        </is>
      </c>
      <c r="E11" s="11" t="inlineStr">
        <is>
          <t>US</t>
        </is>
      </c>
      <c r="F11" s="11" t="inlineStr">
        <is>
          <t>Operations</t>
        </is>
      </c>
      <c r="G11" s="11" t="inlineStr">
        <is>
          <t>Biweekly payroll accrual</t>
        </is>
      </c>
      <c r="H11" s="19" t="n">
        <v>219</v>
      </c>
      <c r="I11" s="19" t="n">
        <v>0</v>
      </c>
      <c r="J11" s="19">
        <f>IF(ROW()=5,H5-I5,J10+H11-I11)</f>
        <v/>
      </c>
      <c r="K11" s="11" t="inlineStr">
        <is>
          <t>https://www.apexlogistics.example/internal/gl-detail-2026-ytd</t>
        </is>
      </c>
    </row>
    <row r="12">
      <c r="A12" s="18" t="n">
        <v>46027</v>
      </c>
      <c r="B12" s="11" t="inlineStr">
        <is>
          <t>J260004</t>
        </is>
      </c>
      <c r="C12" s="11" t="inlineStr">
        <is>
          <t>2100</t>
        </is>
      </c>
      <c r="D12" s="11" t="inlineStr">
        <is>
          <t>Accrued Expenses</t>
        </is>
      </c>
      <c r="E12" s="11" t="inlineStr">
        <is>
          <t>US</t>
        </is>
      </c>
      <c r="F12" s="11" t="inlineStr">
        <is>
          <t>Operations</t>
        </is>
      </c>
      <c r="G12" s="11" t="inlineStr">
        <is>
          <t>Biweekly payroll accrual</t>
        </is>
      </c>
      <c r="H12" s="19" t="n">
        <v>0</v>
      </c>
      <c r="I12" s="19" t="n">
        <v>219</v>
      </c>
      <c r="J12" s="19">
        <f>IF(ROW()=5,H5-I5,J11+H12-I12)</f>
        <v/>
      </c>
      <c r="K12" s="11" t="inlineStr">
        <is>
          <t>https://www.apexlogistics.example/internal/gl-detail-2026-ytd</t>
        </is>
      </c>
    </row>
    <row r="13">
      <c r="A13" s="18" t="n">
        <v>46028</v>
      </c>
      <c r="B13" s="11" t="inlineStr">
        <is>
          <t>J260005</t>
        </is>
      </c>
      <c r="C13" s="11" t="inlineStr">
        <is>
          <t>1100</t>
        </is>
      </c>
      <c r="D13" s="11" t="inlineStr">
        <is>
          <t>Accounts Receivable</t>
        </is>
      </c>
      <c r="E13" s="11" t="inlineStr">
        <is>
          <t>EU</t>
        </is>
      </c>
      <c r="F13" s="11" t="inlineStr">
        <is>
          <t>Warehousing</t>
        </is>
      </c>
      <c r="G13" s="11" t="inlineStr">
        <is>
          <t>Storage and handling billing</t>
        </is>
      </c>
      <c r="H13" s="19" t="n">
        <v>419</v>
      </c>
      <c r="I13" s="19" t="n">
        <v>0</v>
      </c>
      <c r="J13" s="19">
        <f>IF(ROW()=5,H5-I5,J12+H13-I13)</f>
        <v/>
      </c>
      <c r="K13" s="11" t="inlineStr">
        <is>
          <t>https://www.apexlogistics.example/internal/gl-detail-2026-ytd</t>
        </is>
      </c>
    </row>
    <row r="14">
      <c r="A14" s="18" t="n">
        <v>46028</v>
      </c>
      <c r="B14" s="11" t="inlineStr">
        <is>
          <t>J260005</t>
        </is>
      </c>
      <c r="C14" s="11" t="inlineStr">
        <is>
          <t>4010</t>
        </is>
      </c>
      <c r="D14" s="11" t="inlineStr">
        <is>
          <t>Warehousing Revenue</t>
        </is>
      </c>
      <c r="E14" s="11" t="inlineStr">
        <is>
          <t>EU</t>
        </is>
      </c>
      <c r="F14" s="11" t="inlineStr">
        <is>
          <t>Warehousing</t>
        </is>
      </c>
      <c r="G14" s="11" t="inlineStr">
        <is>
          <t>Storage and handling billing</t>
        </is>
      </c>
      <c r="H14" s="19" t="n">
        <v>0</v>
      </c>
      <c r="I14" s="19" t="n">
        <v>419</v>
      </c>
      <c r="J14" s="19">
        <f>IF(ROW()=5,H5-I5,J13+H14-I14)</f>
        <v/>
      </c>
      <c r="K14" s="11" t="inlineStr">
        <is>
          <t>https://www.apexlogistics.example/internal/gl-detail-2026-ytd</t>
        </is>
      </c>
    </row>
    <row r="15">
      <c r="A15" s="18" t="n">
        <v>46029</v>
      </c>
      <c r="B15" s="11" t="inlineStr">
        <is>
          <t>J260006</t>
        </is>
      </c>
      <c r="C15" s="11" t="inlineStr">
        <is>
          <t>5030</t>
        </is>
      </c>
      <c r="D15" s="11" t="inlineStr">
        <is>
          <t>Facility &amp; Warehouse</t>
        </is>
      </c>
      <c r="E15" s="11" t="inlineStr">
        <is>
          <t>EU</t>
        </is>
      </c>
      <c r="F15" s="11" t="inlineStr">
        <is>
          <t>Warehousing</t>
        </is>
      </c>
      <c r="G15" s="11" t="inlineStr">
        <is>
          <t>Warehouse rent accrual</t>
        </is>
      </c>
      <c r="H15" s="19" t="n">
        <v>77</v>
      </c>
      <c r="I15" s="19" t="n">
        <v>0</v>
      </c>
      <c r="J15" s="19">
        <f>IF(ROW()=5,H5-I5,J14+H15-I15)</f>
        <v/>
      </c>
      <c r="K15" s="11" t="inlineStr">
        <is>
          <t>https://www.apexlogistics.example/internal/gl-detail-2026-ytd</t>
        </is>
      </c>
    </row>
    <row r="16">
      <c r="A16" s="18" t="n">
        <v>46029</v>
      </c>
      <c r="B16" s="11" t="inlineStr">
        <is>
          <t>J260006</t>
        </is>
      </c>
      <c r="C16" s="11" t="inlineStr">
        <is>
          <t>2000</t>
        </is>
      </c>
      <c r="D16" s="11" t="inlineStr">
        <is>
          <t>Accounts Payable</t>
        </is>
      </c>
      <c r="E16" s="11" t="inlineStr">
        <is>
          <t>EU</t>
        </is>
      </c>
      <c r="F16" s="11" t="inlineStr">
        <is>
          <t>Warehousing</t>
        </is>
      </c>
      <c r="G16" s="11" t="inlineStr">
        <is>
          <t>Warehouse rent accrual</t>
        </is>
      </c>
      <c r="H16" s="19" t="n">
        <v>0</v>
      </c>
      <c r="I16" s="19" t="n">
        <v>77</v>
      </c>
      <c r="J16" s="19">
        <f>IF(ROW()=5,H5-I5,J15+H16-I16)</f>
        <v/>
      </c>
      <c r="K16" s="11" t="inlineStr">
        <is>
          <t>https://www.apexlogistics.example/internal/gl-detail-2026-ytd</t>
        </is>
      </c>
    </row>
    <row r="17">
      <c r="A17" s="18" t="n">
        <v>46030</v>
      </c>
      <c r="B17" s="11" t="inlineStr">
        <is>
          <t>J260007</t>
        </is>
      </c>
      <c r="C17" s="11" t="inlineStr">
        <is>
          <t>5100</t>
        </is>
      </c>
      <c r="D17" s="11" t="inlineStr">
        <is>
          <t>Depreciation &amp; Amortization</t>
        </is>
      </c>
      <c r="E17" s="11" t="inlineStr">
        <is>
          <t>US</t>
        </is>
      </c>
      <c r="F17" s="11" t="inlineStr">
        <is>
          <t>Accounting</t>
        </is>
      </c>
      <c r="G17" s="11" t="inlineStr">
        <is>
          <t>Monthly depreciation</t>
        </is>
      </c>
      <c r="H17" s="19" t="n">
        <v>200</v>
      </c>
      <c r="I17" s="19" t="n">
        <v>0</v>
      </c>
      <c r="J17" s="19">
        <f>IF(ROW()=5,H5-I5,J16+H17-I17)</f>
        <v/>
      </c>
      <c r="K17" s="11" t="inlineStr">
        <is>
          <t>https://www.apexlogistics.example/internal/gl-detail-2026-ytd</t>
        </is>
      </c>
    </row>
    <row r="18">
      <c r="A18" s="18" t="n">
        <v>46030</v>
      </c>
      <c r="B18" s="11" t="inlineStr">
        <is>
          <t>J260007</t>
        </is>
      </c>
      <c r="C18" s="11" t="inlineStr">
        <is>
          <t>1500</t>
        </is>
      </c>
      <c r="D18" s="11" t="inlineStr">
        <is>
          <t>Property, Plant &amp; Equipment (Net)</t>
        </is>
      </c>
      <c r="E18" s="11" t="inlineStr">
        <is>
          <t>US</t>
        </is>
      </c>
      <c r="F18" s="11" t="inlineStr">
        <is>
          <t>Accounting</t>
        </is>
      </c>
      <c r="G18" s="11" t="inlineStr">
        <is>
          <t>Monthly depreciation</t>
        </is>
      </c>
      <c r="H18" s="19" t="n">
        <v>0</v>
      </c>
      <c r="I18" s="19" t="n">
        <v>200</v>
      </c>
      <c r="J18" s="19">
        <f>IF(ROW()=5,H5-I5,J17+H18-I18)</f>
        <v/>
      </c>
      <c r="K18" s="11" t="inlineStr">
        <is>
          <t>https://www.apexlogistics.example/internal/gl-detail-2026-ytd</t>
        </is>
      </c>
    </row>
    <row r="19">
      <c r="A19" s="18" t="n">
        <v>46031</v>
      </c>
      <c r="B19" s="11" t="inlineStr">
        <is>
          <t>J260008</t>
        </is>
      </c>
      <c r="C19" s="11" t="inlineStr">
        <is>
          <t>5200</t>
        </is>
      </c>
      <c r="D19" s="11" t="inlineStr">
        <is>
          <t>Interest Expense</t>
        </is>
      </c>
      <c r="E19" s="11" t="inlineStr">
        <is>
          <t>US</t>
        </is>
      </c>
      <c r="F19" s="11" t="inlineStr">
        <is>
          <t>Treasury</t>
        </is>
      </c>
      <c r="G19" s="11" t="inlineStr">
        <is>
          <t>Debt interest accrual</t>
        </is>
      </c>
      <c r="H19" s="19" t="n">
        <v>100</v>
      </c>
      <c r="I19" s="19" t="n">
        <v>0</v>
      </c>
      <c r="J19" s="19">
        <f>IF(ROW()=5,H5-I5,J18+H19-I19)</f>
        <v/>
      </c>
      <c r="K19" s="11" t="inlineStr">
        <is>
          <t>https://www.apexlogistics.example/internal/gl-detail-2026-ytd</t>
        </is>
      </c>
    </row>
    <row r="20">
      <c r="A20" s="18" t="n">
        <v>46031</v>
      </c>
      <c r="B20" s="11" t="inlineStr">
        <is>
          <t>J260008</t>
        </is>
      </c>
      <c r="C20" s="11" t="inlineStr">
        <is>
          <t>1000</t>
        </is>
      </c>
      <c r="D20" s="11" t="inlineStr">
        <is>
          <t>Cash &amp; Equivalents</t>
        </is>
      </c>
      <c r="E20" s="11" t="inlineStr">
        <is>
          <t>US</t>
        </is>
      </c>
      <c r="F20" s="11" t="inlineStr">
        <is>
          <t>Treasury</t>
        </is>
      </c>
      <c r="G20" s="11" t="inlineStr">
        <is>
          <t>Debt interest accrual</t>
        </is>
      </c>
      <c r="H20" s="19" t="n">
        <v>0</v>
      </c>
      <c r="I20" s="19" t="n">
        <v>100</v>
      </c>
      <c r="J20" s="19">
        <f>IF(ROW()=5,H5-I5,J19+H20-I20)</f>
        <v/>
      </c>
      <c r="K20" s="11" t="inlineStr">
        <is>
          <t>https://www.apexlogistics.example/internal/gl-detail-2026-ytd</t>
        </is>
      </c>
    </row>
    <row r="21">
      <c r="A21" s="18" t="n">
        <v>46032</v>
      </c>
      <c r="B21" s="11" t="inlineStr">
        <is>
          <t>J260009</t>
        </is>
      </c>
      <c r="C21" s="11" t="inlineStr">
        <is>
          <t>1000</t>
        </is>
      </c>
      <c r="D21" s="11" t="inlineStr">
        <is>
          <t>Cash &amp; Equivalents</t>
        </is>
      </c>
      <c r="E21" s="11" t="inlineStr">
        <is>
          <t>US</t>
        </is>
      </c>
      <c r="F21" s="11" t="inlineStr">
        <is>
          <t>Treasury</t>
        </is>
      </c>
      <c r="G21" s="11" t="inlineStr">
        <is>
          <t>Revolver draw</t>
        </is>
      </c>
      <c r="H21" s="19" t="n">
        <v>820</v>
      </c>
      <c r="I21" s="19" t="n">
        <v>0</v>
      </c>
      <c r="J21" s="19">
        <f>IF(ROW()=5,H5-I5,J20+H21-I21)</f>
        <v/>
      </c>
      <c r="K21" s="11" t="inlineStr">
        <is>
          <t>https://www.apexlogistics.example/internal/gl-detail-2026-ytd</t>
        </is>
      </c>
    </row>
    <row r="22">
      <c r="A22" s="18" t="n">
        <v>46032</v>
      </c>
      <c r="B22" s="11" t="inlineStr">
        <is>
          <t>J260009</t>
        </is>
      </c>
      <c r="C22" s="11" t="inlineStr">
        <is>
          <t>2200</t>
        </is>
      </c>
      <c r="D22" s="11" t="inlineStr">
        <is>
          <t>Current Portion LT Debt</t>
        </is>
      </c>
      <c r="E22" s="11" t="inlineStr">
        <is>
          <t>US</t>
        </is>
      </c>
      <c r="F22" s="11" t="inlineStr">
        <is>
          <t>Treasury</t>
        </is>
      </c>
      <c r="G22" s="11" t="inlineStr">
        <is>
          <t>Revolver draw</t>
        </is>
      </c>
      <c r="H22" s="19" t="n">
        <v>0</v>
      </c>
      <c r="I22" s="19" t="n">
        <v>820</v>
      </c>
      <c r="J22" s="19">
        <f>IF(ROW()=5,H5-I5,J21+H22-I22)</f>
        <v/>
      </c>
      <c r="K22" s="11" t="inlineStr">
        <is>
          <t>https://www.apexlogistics.example/internal/gl-detail-2026-ytd</t>
        </is>
      </c>
    </row>
    <row r="23">
      <c r="A23" s="18" t="n">
        <v>46033</v>
      </c>
      <c r="B23" s="11" t="inlineStr">
        <is>
          <t>J260010</t>
        </is>
      </c>
      <c r="C23" s="11" t="inlineStr">
        <is>
          <t>5400</t>
        </is>
      </c>
      <c r="D23" s="11" t="inlineStr">
        <is>
          <t>Income Tax Expense</t>
        </is>
      </c>
      <c r="E23" s="11" t="inlineStr">
        <is>
          <t>US</t>
        </is>
      </c>
      <c r="F23" s="11" t="inlineStr">
        <is>
          <t>Tax</t>
        </is>
      </c>
      <c r="G23" s="11" t="inlineStr">
        <is>
          <t>Current tax provision</t>
        </is>
      </c>
      <c r="H23" s="19" t="n">
        <v>485</v>
      </c>
      <c r="I23" s="19" t="n">
        <v>0</v>
      </c>
      <c r="J23" s="19">
        <f>IF(ROW()=5,H5-I5,J22+H23-I23)</f>
        <v/>
      </c>
      <c r="K23" s="11" t="inlineStr">
        <is>
          <t>https://www.apexlogistics.example/internal/gl-detail-2026-ytd</t>
        </is>
      </c>
    </row>
    <row r="24">
      <c r="A24" s="18" t="n">
        <v>46033</v>
      </c>
      <c r="B24" s="11" t="inlineStr">
        <is>
          <t>J260010</t>
        </is>
      </c>
      <c r="C24" s="11" t="inlineStr">
        <is>
          <t>2400</t>
        </is>
      </c>
      <c r="D24" s="11" t="inlineStr">
        <is>
          <t>Deferred Tax Liabilities</t>
        </is>
      </c>
      <c r="E24" s="11" t="inlineStr">
        <is>
          <t>US</t>
        </is>
      </c>
      <c r="F24" s="11" t="inlineStr">
        <is>
          <t>Tax</t>
        </is>
      </c>
      <c r="G24" s="11" t="inlineStr">
        <is>
          <t>Current tax provision</t>
        </is>
      </c>
      <c r="H24" s="19" t="n">
        <v>0</v>
      </c>
      <c r="I24" s="19" t="n">
        <v>485</v>
      </c>
      <c r="J24" s="19">
        <f>IF(ROW()=5,H5-I5,J23+H24-I24)</f>
        <v/>
      </c>
      <c r="K24" s="11" t="inlineStr">
        <is>
          <t>https://www.apexlogistics.example/internal/gl-detail-2026-ytd</t>
        </is>
      </c>
    </row>
    <row r="25">
      <c r="A25" s="18" t="n">
        <v>46034</v>
      </c>
      <c r="B25" s="11" t="inlineStr">
        <is>
          <t>J260011</t>
        </is>
      </c>
      <c r="C25" s="11" t="inlineStr">
        <is>
          <t>4020</t>
        </is>
      </c>
      <c r="D25" s="11" t="inlineStr">
        <is>
          <t>Customs &amp; Other Revenue</t>
        </is>
      </c>
      <c r="E25" s="11" t="inlineStr">
        <is>
          <t>EU</t>
        </is>
      </c>
      <c r="F25" s="11" t="inlineStr">
        <is>
          <t>Customs</t>
        </is>
      </c>
      <c r="G25" s="11" t="inlineStr">
        <is>
          <t>Brokerage revenue reclass</t>
        </is>
      </c>
      <c r="H25" s="19" t="n">
        <v>0</v>
      </c>
      <c r="I25" s="19" t="n">
        <v>77</v>
      </c>
      <c r="J25" s="19">
        <f>IF(ROW()=5,H5-I5,J24+H25-I25)</f>
        <v/>
      </c>
      <c r="K25" s="11" t="inlineStr">
        <is>
          <t>https://www.apexlogistics.example/internal/gl-detail-2026-ytd</t>
        </is>
      </c>
    </row>
    <row r="26">
      <c r="A26" s="18" t="n">
        <v>46034</v>
      </c>
      <c r="B26" s="11" t="inlineStr">
        <is>
          <t>J260011</t>
        </is>
      </c>
      <c r="C26" s="11" t="inlineStr">
        <is>
          <t>1100</t>
        </is>
      </c>
      <c r="D26" s="11" t="inlineStr">
        <is>
          <t>Accounts Receivable</t>
        </is>
      </c>
      <c r="E26" s="11" t="inlineStr">
        <is>
          <t>EU</t>
        </is>
      </c>
      <c r="F26" s="11" t="inlineStr">
        <is>
          <t>Customs</t>
        </is>
      </c>
      <c r="G26" s="11" t="inlineStr">
        <is>
          <t>Brokerage revenue reclass</t>
        </is>
      </c>
      <c r="H26" s="19" t="n">
        <v>77</v>
      </c>
      <c r="I26" s="19" t="n">
        <v>0</v>
      </c>
      <c r="J26" s="19">
        <f>IF(ROW()=5,H5-I5,J25+H26-I26)</f>
        <v/>
      </c>
      <c r="K26" s="11" t="inlineStr">
        <is>
          <t>https://www.apexlogistics.example/internal/gl-detail-2026-ytd</t>
        </is>
      </c>
    </row>
    <row r="27">
      <c r="A27" s="18" t="n">
        <v>46035</v>
      </c>
      <c r="B27" s="11" t="inlineStr">
        <is>
          <t>J260012</t>
        </is>
      </c>
      <c r="C27" s="11" t="inlineStr">
        <is>
          <t>2000</t>
        </is>
      </c>
      <c r="D27" s="11" t="inlineStr">
        <is>
          <t>Accounts Payable</t>
        </is>
      </c>
      <c r="E27" s="11" t="inlineStr">
        <is>
          <t>US</t>
        </is>
      </c>
      <c r="F27" s="11" t="inlineStr">
        <is>
          <t>AP</t>
        </is>
      </c>
      <c r="G27" s="11" t="inlineStr">
        <is>
          <t>Vendor payment run</t>
        </is>
      </c>
      <c r="H27" s="19" t="n">
        <v>241</v>
      </c>
      <c r="I27" s="19" t="n">
        <v>0</v>
      </c>
      <c r="J27" s="19">
        <f>IF(ROW()=5,H5-I5,J26+H27-I27)</f>
        <v/>
      </c>
      <c r="K27" s="11" t="inlineStr">
        <is>
          <t>https://www.apexlogistics.example/internal/gl-detail-2026-ytd</t>
        </is>
      </c>
    </row>
    <row r="28">
      <c r="A28" s="18" t="n">
        <v>46035</v>
      </c>
      <c r="B28" s="11" t="inlineStr">
        <is>
          <t>J260012</t>
        </is>
      </c>
      <c r="C28" s="11" t="inlineStr">
        <is>
          <t>1000</t>
        </is>
      </c>
      <c r="D28" s="11" t="inlineStr">
        <is>
          <t>Cash &amp; Equivalents</t>
        </is>
      </c>
      <c r="E28" s="11" t="inlineStr">
        <is>
          <t>US</t>
        </is>
      </c>
      <c r="F28" s="11" t="inlineStr">
        <is>
          <t>Treasury</t>
        </is>
      </c>
      <c r="G28" s="11" t="inlineStr">
        <is>
          <t>Vendor payment run</t>
        </is>
      </c>
      <c r="H28" s="19" t="n">
        <v>0</v>
      </c>
      <c r="I28" s="19" t="n">
        <v>241</v>
      </c>
      <c r="J28" s="19">
        <f>IF(ROW()=5,H5-I5,J27+H28-I28)</f>
        <v/>
      </c>
      <c r="K28" s="11" t="inlineStr">
        <is>
          <t>https://www.apexlogistics.example/internal/gl-detail-2026-ytd</t>
        </is>
      </c>
    </row>
    <row r="29">
      <c r="A29" s="18" t="n">
        <v>46036</v>
      </c>
      <c r="B29" s="11" t="inlineStr">
        <is>
          <t>J260013</t>
        </is>
      </c>
      <c r="C29" s="11" t="inlineStr">
        <is>
          <t>2100</t>
        </is>
      </c>
      <c r="D29" s="11" t="inlineStr">
        <is>
          <t>Accrued Expenses</t>
        </is>
      </c>
      <c r="E29" s="11" t="inlineStr">
        <is>
          <t>US</t>
        </is>
      </c>
      <c r="F29" s="11" t="inlineStr">
        <is>
          <t>Payroll</t>
        </is>
      </c>
      <c r="G29" s="11" t="inlineStr">
        <is>
          <t>Payroll settlement</t>
        </is>
      </c>
      <c r="H29" s="19" t="n">
        <v>205</v>
      </c>
      <c r="I29" s="19" t="n">
        <v>0</v>
      </c>
      <c r="J29" s="19">
        <f>IF(ROW()=5,H5-I5,J28+H29-I29)</f>
        <v/>
      </c>
      <c r="K29" s="11" t="inlineStr">
        <is>
          <t>https://www.apexlogistics.example/internal/gl-detail-2026-ytd</t>
        </is>
      </c>
    </row>
    <row r="30">
      <c r="A30" s="18" t="n">
        <v>46036</v>
      </c>
      <c r="B30" s="11" t="inlineStr">
        <is>
          <t>J260013</t>
        </is>
      </c>
      <c r="C30" s="11" t="inlineStr">
        <is>
          <t>1000</t>
        </is>
      </c>
      <c r="D30" s="11" t="inlineStr">
        <is>
          <t>Cash &amp; Equivalents</t>
        </is>
      </c>
      <c r="E30" s="11" t="inlineStr">
        <is>
          <t>US</t>
        </is>
      </c>
      <c r="F30" s="11" t="inlineStr">
        <is>
          <t>Payroll</t>
        </is>
      </c>
      <c r="G30" s="11" t="inlineStr">
        <is>
          <t>Payroll settlement</t>
        </is>
      </c>
      <c r="H30" s="19" t="n">
        <v>0</v>
      </c>
      <c r="I30" s="19" t="n">
        <v>205</v>
      </c>
      <c r="J30" s="19">
        <f>IF(ROW()=5,H5-I5,J29+H30-I30)</f>
        <v/>
      </c>
      <c r="K30" s="11" t="inlineStr">
        <is>
          <t>https://www.apexlogistics.example/internal/gl-detail-2026-ytd</t>
        </is>
      </c>
    </row>
    <row r="31">
      <c r="A31" s="18" t="n">
        <v>46037</v>
      </c>
      <c r="B31" s="11" t="inlineStr">
        <is>
          <t>J260014</t>
        </is>
      </c>
      <c r="C31" s="11" t="inlineStr">
        <is>
          <t>5040</t>
        </is>
      </c>
      <c r="D31" s="11" t="inlineStr">
        <is>
          <t>Technology &amp; Communications</t>
        </is>
      </c>
      <c r="E31" s="11" t="inlineStr">
        <is>
          <t>US</t>
        </is>
      </c>
      <c r="F31" s="11" t="inlineStr">
        <is>
          <t>IT</t>
        </is>
      </c>
      <c r="G31" s="11" t="inlineStr">
        <is>
          <t>TMS software license</t>
        </is>
      </c>
      <c r="H31" s="19" t="n">
        <v>43</v>
      </c>
      <c r="I31" s="19" t="n">
        <v>0</v>
      </c>
      <c r="J31" s="19">
        <f>IF(ROW()=5,H5-I5,J30+H31-I31)</f>
        <v/>
      </c>
      <c r="K31" s="11" t="inlineStr">
        <is>
          <t>https://www.apexlogistics.example/internal/gl-detail-2026-ytd</t>
        </is>
      </c>
    </row>
    <row r="32">
      <c r="A32" s="18" t="n">
        <v>46037</v>
      </c>
      <c r="B32" s="11" t="inlineStr">
        <is>
          <t>J260014</t>
        </is>
      </c>
      <c r="C32" s="11" t="inlineStr">
        <is>
          <t>2000</t>
        </is>
      </c>
      <c r="D32" s="11" t="inlineStr">
        <is>
          <t>Accounts Payable</t>
        </is>
      </c>
      <c r="E32" s="11" t="inlineStr">
        <is>
          <t>US</t>
        </is>
      </c>
      <c r="F32" s="11" t="inlineStr">
        <is>
          <t>IT</t>
        </is>
      </c>
      <c r="G32" s="11" t="inlineStr">
        <is>
          <t>TMS software license</t>
        </is>
      </c>
      <c r="H32" s="19" t="n">
        <v>0</v>
      </c>
      <c r="I32" s="19" t="n">
        <v>43</v>
      </c>
      <c r="J32" s="19">
        <f>IF(ROW()=5,H5-I5,J31+H32-I32)</f>
        <v/>
      </c>
      <c r="K32" s="11" t="inlineStr">
        <is>
          <t>https://www.apexlogistics.example/internal/gl-detail-2026-ytd</t>
        </is>
      </c>
    </row>
    <row r="33">
      <c r="A33" s="18" t="n">
        <v>46038</v>
      </c>
      <c r="B33" s="11" t="inlineStr">
        <is>
          <t>J260015</t>
        </is>
      </c>
      <c r="C33" s="11" t="inlineStr">
        <is>
          <t>5050</t>
        </is>
      </c>
      <c r="D33" s="11" t="inlineStr">
        <is>
          <t>General &amp; Administrative</t>
        </is>
      </c>
      <c r="E33" s="11" t="inlineStr">
        <is>
          <t>US</t>
        </is>
      </c>
      <c r="F33" s="11" t="inlineStr">
        <is>
          <t>Corporate</t>
        </is>
      </c>
      <c r="G33" s="11" t="inlineStr">
        <is>
          <t>Professional services</t>
        </is>
      </c>
      <c r="H33" s="19" t="n">
        <v>59</v>
      </c>
      <c r="I33" s="19" t="n">
        <v>0</v>
      </c>
      <c r="J33" s="19">
        <f>IF(ROW()=5,H5-I5,J32+H33-I33)</f>
        <v/>
      </c>
      <c r="K33" s="11" t="inlineStr">
        <is>
          <t>https://www.apexlogistics.example/internal/gl-detail-2026-ytd</t>
        </is>
      </c>
    </row>
    <row r="34">
      <c r="A34" s="18" t="n">
        <v>46038</v>
      </c>
      <c r="B34" s="11" t="inlineStr">
        <is>
          <t>J260015</t>
        </is>
      </c>
      <c r="C34" s="11" t="inlineStr">
        <is>
          <t>2000</t>
        </is>
      </c>
      <c r="D34" s="11" t="inlineStr">
        <is>
          <t>Accounts Payable</t>
        </is>
      </c>
      <c r="E34" s="11" t="inlineStr">
        <is>
          <t>US</t>
        </is>
      </c>
      <c r="F34" s="11" t="inlineStr">
        <is>
          <t>Corporate</t>
        </is>
      </c>
      <c r="G34" s="11" t="inlineStr">
        <is>
          <t>Professional services</t>
        </is>
      </c>
      <c r="H34" s="19" t="n">
        <v>0</v>
      </c>
      <c r="I34" s="19" t="n">
        <v>59</v>
      </c>
      <c r="J34" s="19">
        <f>IF(ROW()=5,H5-I5,J33+H34-I34)</f>
        <v/>
      </c>
      <c r="K34" s="11" t="inlineStr">
        <is>
          <t>https://www.apexlogistics.example/internal/gl-detail-2026-ytd</t>
        </is>
      </c>
    </row>
    <row r="35">
      <c r="A35" s="18" t="n">
        <v>46039</v>
      </c>
      <c r="B35" s="11" t="inlineStr">
        <is>
          <t>J260016</t>
        </is>
      </c>
      <c r="C35" s="11" t="inlineStr">
        <is>
          <t>1000</t>
        </is>
      </c>
      <c r="D35" s="11" t="inlineStr">
        <is>
          <t>Cash &amp; Equivalents</t>
        </is>
      </c>
      <c r="E35" s="11" t="inlineStr">
        <is>
          <t>EU</t>
        </is>
      </c>
      <c r="F35" s="11" t="inlineStr">
        <is>
          <t>Treasury</t>
        </is>
      </c>
      <c r="G35" s="11" t="inlineStr">
        <is>
          <t>Customer wire receipts</t>
        </is>
      </c>
      <c r="H35" s="19" t="n">
        <v>337</v>
      </c>
      <c r="I35" s="19" t="n">
        <v>0</v>
      </c>
      <c r="J35" s="19">
        <f>IF(ROW()=5,H5-I5,J34+H35-I35)</f>
        <v/>
      </c>
      <c r="K35" s="11" t="inlineStr">
        <is>
          <t>https://www.apexlogistics.example/internal/gl-detail-2026-ytd</t>
        </is>
      </c>
    </row>
    <row r="36">
      <c r="A36" s="18" t="n">
        <v>46039</v>
      </c>
      <c r="B36" s="11" t="inlineStr">
        <is>
          <t>J260016</t>
        </is>
      </c>
      <c r="C36" s="11" t="inlineStr">
        <is>
          <t>1100</t>
        </is>
      </c>
      <c r="D36" s="11" t="inlineStr">
        <is>
          <t>Accounts Receivable</t>
        </is>
      </c>
      <c r="E36" s="11" t="inlineStr">
        <is>
          <t>EU</t>
        </is>
      </c>
      <c r="F36" s="11" t="inlineStr">
        <is>
          <t>Collections</t>
        </is>
      </c>
      <c r="G36" s="11" t="inlineStr">
        <is>
          <t>Customer wire receipts</t>
        </is>
      </c>
      <c r="H36" s="19" t="n">
        <v>0</v>
      </c>
      <c r="I36" s="19" t="n">
        <v>337</v>
      </c>
      <c r="J36" s="19">
        <f>IF(ROW()=5,H5-I5,J35+H36-I36)</f>
        <v/>
      </c>
      <c r="K36" s="11" t="inlineStr">
        <is>
          <t>https://www.apexlogistics.example/internal/gl-detail-2026-ytd</t>
        </is>
      </c>
    </row>
    <row r="37">
      <c r="A37" s="18" t="n">
        <v>46040</v>
      </c>
      <c r="B37" s="11" t="inlineStr">
        <is>
          <t>J260017</t>
        </is>
      </c>
      <c r="C37" s="11" t="inlineStr">
        <is>
          <t>5010</t>
        </is>
      </c>
      <c r="D37" s="11" t="inlineStr">
        <is>
          <t>Fuel Costs</t>
        </is>
      </c>
      <c r="E37" s="11" t="inlineStr">
        <is>
          <t>EU</t>
        </is>
      </c>
      <c r="F37" s="11" t="inlineStr">
        <is>
          <t>Linehaul</t>
        </is>
      </c>
      <c r="G37" s="11" t="inlineStr">
        <is>
          <t>Diesel surcharge true-up</t>
        </is>
      </c>
      <c r="H37" s="19" t="n">
        <v>55</v>
      </c>
      <c r="I37" s="19" t="n">
        <v>0</v>
      </c>
      <c r="J37" s="19">
        <f>IF(ROW()=5,H5-I5,J36+H37-I37)</f>
        <v/>
      </c>
      <c r="K37" s="11" t="inlineStr">
        <is>
          <t>https://www.apexlogistics.example/internal/gl-detail-2026-ytd</t>
        </is>
      </c>
    </row>
    <row r="38">
      <c r="A38" s="18" t="n">
        <v>46040</v>
      </c>
      <c r="B38" s="11" t="inlineStr">
        <is>
          <t>J260017</t>
        </is>
      </c>
      <c r="C38" s="11" t="inlineStr">
        <is>
          <t>2000</t>
        </is>
      </c>
      <c r="D38" s="11" t="inlineStr">
        <is>
          <t>Accounts Payable</t>
        </is>
      </c>
      <c r="E38" s="11" t="inlineStr">
        <is>
          <t>EU</t>
        </is>
      </c>
      <c r="F38" s="11" t="inlineStr">
        <is>
          <t>Linehaul</t>
        </is>
      </c>
      <c r="G38" s="11" t="inlineStr">
        <is>
          <t>Diesel surcharge true-up</t>
        </is>
      </c>
      <c r="H38" s="19" t="n">
        <v>0</v>
      </c>
      <c r="I38" s="19" t="n">
        <v>55</v>
      </c>
      <c r="J38" s="19">
        <f>IF(ROW()=5,H5-I5,J37+H38-I38)</f>
        <v/>
      </c>
      <c r="K38" s="11" t="inlineStr">
        <is>
          <t>https://www.apexlogistics.example/internal/gl-detail-2026-ytd</t>
        </is>
      </c>
    </row>
    <row r="39">
      <c r="A39" s="18" t="n">
        <v>46041</v>
      </c>
      <c r="B39" s="11" t="inlineStr">
        <is>
          <t>J260018</t>
        </is>
      </c>
      <c r="C39" s="11" t="inlineStr">
        <is>
          <t>2300</t>
        </is>
      </c>
      <c r="D39" s="11" t="inlineStr">
        <is>
          <t>Long-Term Debt</t>
        </is>
      </c>
      <c r="E39" s="11" t="inlineStr">
        <is>
          <t>US</t>
        </is>
      </c>
      <c r="F39" s="11" t="inlineStr">
        <is>
          <t>Treasury</t>
        </is>
      </c>
      <c r="G39" s="11" t="inlineStr">
        <is>
          <t>Scheduled principal payment</t>
        </is>
      </c>
      <c r="H39" s="19" t="n">
        <v>137</v>
      </c>
      <c r="I39" s="19" t="n">
        <v>0</v>
      </c>
      <c r="J39" s="19">
        <f>IF(ROW()=5,H5-I5,J38+H39-I39)</f>
        <v/>
      </c>
      <c r="K39" s="11" t="inlineStr">
        <is>
          <t>https://www.apexlogistics.example/internal/gl-detail-2026-ytd</t>
        </is>
      </c>
    </row>
    <row r="40">
      <c r="A40" s="18" t="n">
        <v>46041</v>
      </c>
      <c r="B40" s="11" t="inlineStr">
        <is>
          <t>J260018</t>
        </is>
      </c>
      <c r="C40" s="11" t="inlineStr">
        <is>
          <t>1000</t>
        </is>
      </c>
      <c r="D40" s="11" t="inlineStr">
        <is>
          <t>Cash &amp; Equivalents</t>
        </is>
      </c>
      <c r="E40" s="11" t="inlineStr">
        <is>
          <t>US</t>
        </is>
      </c>
      <c r="F40" s="11" t="inlineStr">
        <is>
          <t>Treasury</t>
        </is>
      </c>
      <c r="G40" s="11" t="inlineStr">
        <is>
          <t>Scheduled principal payment</t>
        </is>
      </c>
      <c r="H40" s="19" t="n">
        <v>0</v>
      </c>
      <c r="I40" s="19" t="n">
        <v>137</v>
      </c>
      <c r="J40" s="19">
        <f>IF(ROW()=5,H5-I5,J39+H40-I40)</f>
        <v/>
      </c>
      <c r="K40" s="11" t="inlineStr">
        <is>
          <t>https://www.apexlogistics.example/internal/gl-detail-2026-ytd</t>
        </is>
      </c>
    </row>
    <row r="41">
      <c r="A41" s="18" t="n">
        <v>46042</v>
      </c>
      <c r="B41" s="11" t="inlineStr">
        <is>
          <t>J260019</t>
        </is>
      </c>
      <c r="C41" s="11" t="inlineStr">
        <is>
          <t>2210</t>
        </is>
      </c>
      <c r="D41" s="11" t="inlineStr">
        <is>
          <t>Current Lease Liabilities</t>
        </is>
      </c>
      <c r="E41" s="11" t="inlineStr">
        <is>
          <t>EU</t>
        </is>
      </c>
      <c r="F41" s="11" t="inlineStr">
        <is>
          <t>Fleet</t>
        </is>
      </c>
      <c r="G41" s="11" t="inlineStr">
        <is>
          <t>Truck lease payment</t>
        </is>
      </c>
      <c r="H41" s="19" t="n">
        <v>91</v>
      </c>
      <c r="I41" s="19" t="n">
        <v>0</v>
      </c>
      <c r="J41" s="19">
        <f>IF(ROW()=5,H5-I5,J40+H41-I41)</f>
        <v/>
      </c>
      <c r="K41" s="11" t="inlineStr">
        <is>
          <t>https://www.apexlogistics.example/internal/gl-detail-2026-ytd</t>
        </is>
      </c>
    </row>
    <row r="42">
      <c r="A42" s="18" t="n">
        <v>46042</v>
      </c>
      <c r="B42" s="11" t="inlineStr">
        <is>
          <t>J260019</t>
        </is>
      </c>
      <c r="C42" s="11" t="inlineStr">
        <is>
          <t>1000</t>
        </is>
      </c>
      <c r="D42" s="11" t="inlineStr">
        <is>
          <t>Cash &amp; Equivalents</t>
        </is>
      </c>
      <c r="E42" s="11" t="inlineStr">
        <is>
          <t>EU</t>
        </is>
      </c>
      <c r="F42" s="11" t="inlineStr">
        <is>
          <t>Fleet</t>
        </is>
      </c>
      <c r="G42" s="11" t="inlineStr">
        <is>
          <t>Truck lease payment</t>
        </is>
      </c>
      <c r="H42" s="19" t="n">
        <v>0</v>
      </c>
      <c r="I42" s="19" t="n">
        <v>91</v>
      </c>
      <c r="J42" s="19">
        <f>IF(ROW()=5,H5-I5,J41+H42-I42)</f>
        <v/>
      </c>
      <c r="K42" s="11" t="inlineStr">
        <is>
          <t>https://www.apexlogistics.example/internal/gl-detail-2026-ytd</t>
        </is>
      </c>
    </row>
    <row r="43">
      <c r="A43" s="18" t="n">
        <v>46043</v>
      </c>
      <c r="B43" s="11" t="inlineStr">
        <is>
          <t>J260020</t>
        </is>
      </c>
      <c r="C43" s="11" t="inlineStr">
        <is>
          <t>5300</t>
        </is>
      </c>
      <c r="D43" s="11" t="inlineStr">
        <is>
          <t>Other Income</t>
        </is>
      </c>
      <c r="E43" s="11" t="inlineStr">
        <is>
          <t>US</t>
        </is>
      </c>
      <c r="F43" s="11" t="inlineStr">
        <is>
          <t>Corporate</t>
        </is>
      </c>
      <c r="G43" s="11" t="inlineStr">
        <is>
          <t>Insurance claim recovery</t>
        </is>
      </c>
      <c r="H43" s="19" t="n">
        <v>0</v>
      </c>
      <c r="I43" s="19" t="n">
        <v>5</v>
      </c>
      <c r="J43" s="19">
        <f>IF(ROW()=5,H5-I5,J42+H43-I43)</f>
        <v/>
      </c>
      <c r="K43" s="11" t="inlineStr">
        <is>
          <t>https://www.apexlogistics.example/internal/gl-detail-2026-ytd</t>
        </is>
      </c>
    </row>
    <row r="44">
      <c r="A44" s="18" t="n">
        <v>46043</v>
      </c>
      <c r="B44" s="11" t="inlineStr">
        <is>
          <t>J260020</t>
        </is>
      </c>
      <c r="C44" s="11" t="inlineStr">
        <is>
          <t>1000</t>
        </is>
      </c>
      <c r="D44" s="11" t="inlineStr">
        <is>
          <t>Cash &amp; Equivalents</t>
        </is>
      </c>
      <c r="E44" s="11" t="inlineStr">
        <is>
          <t>US</t>
        </is>
      </c>
      <c r="F44" s="11" t="inlineStr">
        <is>
          <t>Corporate</t>
        </is>
      </c>
      <c r="G44" s="11" t="inlineStr">
        <is>
          <t>Insurance claim recovery</t>
        </is>
      </c>
      <c r="H44" s="19" t="n">
        <v>5</v>
      </c>
      <c r="I44" s="19" t="n">
        <v>0</v>
      </c>
      <c r="J44" s="19">
        <f>IF(ROW()=5,H5-I5,J43+H44-I44)</f>
        <v/>
      </c>
      <c r="K44" s="11" t="inlineStr">
        <is>
          <t>https://www.apexlogistics.example/internal/gl-detail-2026-ytd</t>
        </is>
      </c>
    </row>
    <row r="45">
      <c r="A45" s="18" t="n">
        <v>46044</v>
      </c>
      <c r="B45" s="11" t="inlineStr">
        <is>
          <t>J260021</t>
        </is>
      </c>
      <c r="C45" s="11" t="inlineStr">
        <is>
          <t>1100</t>
        </is>
      </c>
      <c r="D45" s="11" t="inlineStr">
        <is>
          <t>Accounts Receivable</t>
        </is>
      </c>
      <c r="E45" s="11" t="inlineStr">
        <is>
          <t>US</t>
        </is>
      </c>
      <c r="F45" s="11" t="inlineStr">
        <is>
          <t>Linehaul</t>
        </is>
      </c>
      <c r="G45" s="11" t="inlineStr">
        <is>
          <t>Final week freight billing</t>
        </is>
      </c>
      <c r="H45" s="19" t="n">
        <v>583</v>
      </c>
      <c r="I45" s="19" t="n">
        <v>0</v>
      </c>
      <c r="J45" s="19">
        <f>IF(ROW()=5,H5-I5,J44+H45-I45)</f>
        <v/>
      </c>
      <c r="K45" s="11" t="inlineStr">
        <is>
          <t>https://www.apexlogistics.example/internal/gl-detail-2026-ytd</t>
        </is>
      </c>
    </row>
    <row r="46">
      <c r="A46" s="18" t="n">
        <v>46044</v>
      </c>
      <c r="B46" s="11" t="inlineStr">
        <is>
          <t>J260021</t>
        </is>
      </c>
      <c r="C46" s="11" t="inlineStr">
        <is>
          <t>4000</t>
        </is>
      </c>
      <c r="D46" s="11" t="inlineStr">
        <is>
          <t>Linehaul Revenue</t>
        </is>
      </c>
      <c r="E46" s="11" t="inlineStr">
        <is>
          <t>US</t>
        </is>
      </c>
      <c r="F46" s="11" t="inlineStr">
        <is>
          <t>Linehaul</t>
        </is>
      </c>
      <c r="G46" s="11" t="inlineStr">
        <is>
          <t>Final week freight billing</t>
        </is>
      </c>
      <c r="H46" s="19" t="n">
        <v>0</v>
      </c>
      <c r="I46" s="19" t="n">
        <v>583</v>
      </c>
      <c r="J46" s="19">
        <f>IF(ROW()=5,H5-I5,J45+H46-I46)</f>
        <v/>
      </c>
      <c r="K46" s="11" t="inlineStr">
        <is>
          <t>https://www.apexlogistics.example/internal/gl-detail-2026-ytd</t>
        </is>
      </c>
    </row>
    <row r="47">
      <c r="A47" s="18" t="n">
        <v>46045</v>
      </c>
      <c r="B47" s="11" t="inlineStr">
        <is>
          <t>J260022</t>
        </is>
      </c>
      <c r="C47" s="11" t="inlineStr">
        <is>
          <t>1100</t>
        </is>
      </c>
      <c r="D47" s="11" t="inlineStr">
        <is>
          <t>Accounts Receivable</t>
        </is>
      </c>
      <c r="E47" s="11" t="inlineStr">
        <is>
          <t>EU</t>
        </is>
      </c>
      <c r="F47" s="11" t="inlineStr">
        <is>
          <t>Warehousing</t>
        </is>
      </c>
      <c r="G47" s="11" t="inlineStr">
        <is>
          <t>Final week warehousing billing</t>
        </is>
      </c>
      <c r="H47" s="19" t="n">
        <v>210</v>
      </c>
      <c r="I47" s="19" t="n">
        <v>0</v>
      </c>
      <c r="J47" s="19">
        <f>IF(ROW()=5,H5-I5,J46+H47-I47)</f>
        <v/>
      </c>
      <c r="K47" s="11" t="inlineStr">
        <is>
          <t>https://www.apexlogistics.example/internal/gl-detail-2026-ytd</t>
        </is>
      </c>
    </row>
    <row r="48">
      <c r="A48" s="18" t="n">
        <v>46045</v>
      </c>
      <c r="B48" s="11" t="inlineStr">
        <is>
          <t>J260022</t>
        </is>
      </c>
      <c r="C48" s="11" t="inlineStr">
        <is>
          <t>4010</t>
        </is>
      </c>
      <c r="D48" s="11" t="inlineStr">
        <is>
          <t>Warehousing Revenue</t>
        </is>
      </c>
      <c r="E48" s="11" t="inlineStr">
        <is>
          <t>EU</t>
        </is>
      </c>
      <c r="F48" s="11" t="inlineStr">
        <is>
          <t>Warehousing</t>
        </is>
      </c>
      <c r="G48" s="11" t="inlineStr">
        <is>
          <t>Final week warehousing billing</t>
        </is>
      </c>
      <c r="H48" s="19" t="n">
        <v>0</v>
      </c>
      <c r="I48" s="19" t="n">
        <v>210</v>
      </c>
      <c r="J48" s="19">
        <f>IF(ROW()=5,H5-I5,J47+H48-I48)</f>
        <v/>
      </c>
      <c r="K48" s="11" t="inlineStr">
        <is>
          <t>https://www.apexlogistics.example/internal/gl-detail-2026-ytd</t>
        </is>
      </c>
    </row>
    <row r="49">
      <c r="A49" s="18" t="n">
        <v>46046</v>
      </c>
      <c r="B49" s="11" t="inlineStr">
        <is>
          <t>J260023</t>
        </is>
      </c>
      <c r="C49" s="11" t="inlineStr">
        <is>
          <t>1100</t>
        </is>
      </c>
      <c r="D49" s="11" t="inlineStr">
        <is>
          <t>Accounts Receivable</t>
        </is>
      </c>
      <c r="E49" s="11" t="inlineStr">
        <is>
          <t>EU</t>
        </is>
      </c>
      <c r="F49" s="11" t="inlineStr">
        <is>
          <t>Customs</t>
        </is>
      </c>
      <c r="G49" s="11" t="inlineStr">
        <is>
          <t>Final week customs billing</t>
        </is>
      </c>
      <c r="H49" s="19" t="n">
        <v>59</v>
      </c>
      <c r="I49" s="19" t="n">
        <v>0</v>
      </c>
      <c r="J49" s="19">
        <f>IF(ROW()=5,H5-I5,J48+H49-I49)</f>
        <v/>
      </c>
      <c r="K49" s="11" t="inlineStr">
        <is>
          <t>https://www.apexlogistics.example/internal/gl-detail-2026-ytd</t>
        </is>
      </c>
    </row>
    <row r="50">
      <c r="A50" s="18" t="n">
        <v>46046</v>
      </c>
      <c r="B50" s="11" t="inlineStr">
        <is>
          <t>J260023</t>
        </is>
      </c>
      <c r="C50" s="11" t="inlineStr">
        <is>
          <t>4020</t>
        </is>
      </c>
      <c r="D50" s="11" t="inlineStr">
        <is>
          <t>Customs &amp; Other Revenue</t>
        </is>
      </c>
      <c r="E50" s="11" t="inlineStr">
        <is>
          <t>EU</t>
        </is>
      </c>
      <c r="F50" s="11" t="inlineStr">
        <is>
          <t>Customs</t>
        </is>
      </c>
      <c r="G50" s="11" t="inlineStr">
        <is>
          <t>Final week customs billing</t>
        </is>
      </c>
      <c r="H50" s="19" t="n">
        <v>0</v>
      </c>
      <c r="I50" s="19" t="n">
        <v>59</v>
      </c>
      <c r="J50" s="19">
        <f>IF(ROW()=5,H5-I5,J49+H50-I50)</f>
        <v/>
      </c>
      <c r="K50" s="11" t="inlineStr">
        <is>
          <t>https://www.apexlogistics.example/internal/gl-detail-2026-ytd</t>
        </is>
      </c>
    </row>
    <row r="51">
      <c r="A51" s="18" t="n">
        <v>46047</v>
      </c>
      <c r="B51" s="11" t="inlineStr">
        <is>
          <t>J260024</t>
        </is>
      </c>
      <c r="C51" s="11" t="inlineStr">
        <is>
          <t>2000</t>
        </is>
      </c>
      <c r="D51" s="11" t="inlineStr">
        <is>
          <t>Accounts Payable</t>
        </is>
      </c>
      <c r="E51" s="11" t="inlineStr">
        <is>
          <t>US</t>
        </is>
      </c>
      <c r="F51" s="11" t="inlineStr">
        <is>
          <t>AP</t>
        </is>
      </c>
      <c r="G51" s="11" t="inlineStr">
        <is>
          <t>Month-end vendor payments</t>
        </is>
      </c>
      <c r="H51" s="19" t="n">
        <v>323</v>
      </c>
      <c r="I51" s="19" t="n">
        <v>0</v>
      </c>
      <c r="J51" s="19">
        <f>IF(ROW()=5,H5-I5,J50+H51-I51)</f>
        <v/>
      </c>
      <c r="K51" s="11" t="inlineStr">
        <is>
          <t>https://www.apexlogistics.example/internal/gl-detail-2026-ytd</t>
        </is>
      </c>
    </row>
    <row r="52">
      <c r="A52" s="18" t="n">
        <v>46047</v>
      </c>
      <c r="B52" s="11" t="inlineStr">
        <is>
          <t>J260024</t>
        </is>
      </c>
      <c r="C52" s="11" t="inlineStr">
        <is>
          <t>1000</t>
        </is>
      </c>
      <c r="D52" s="11" t="inlineStr">
        <is>
          <t>Cash &amp; Equivalents</t>
        </is>
      </c>
      <c r="E52" s="11" t="inlineStr">
        <is>
          <t>US</t>
        </is>
      </c>
      <c r="F52" s="11" t="inlineStr">
        <is>
          <t>Treasury</t>
        </is>
      </c>
      <c r="G52" s="11" t="inlineStr">
        <is>
          <t>Month-end vendor payments</t>
        </is>
      </c>
      <c r="H52" s="19" t="n">
        <v>0</v>
      </c>
      <c r="I52" s="19" t="n">
        <v>323</v>
      </c>
      <c r="J52" s="19">
        <f>IF(ROW()=5,H5-I5,J51+H52-I52)</f>
        <v/>
      </c>
      <c r="K52" s="11" t="inlineStr">
        <is>
          <t>https://www.apexlogistics.example/internal/gl-detail-2026-ytd</t>
        </is>
      </c>
    </row>
    <row r="53">
      <c r="A53" s="18" t="n">
        <v>46048</v>
      </c>
      <c r="B53" s="11" t="inlineStr">
        <is>
          <t>J260025</t>
        </is>
      </c>
      <c r="C53" s="11" t="inlineStr">
        <is>
          <t>2100</t>
        </is>
      </c>
      <c r="D53" s="11" t="inlineStr">
        <is>
          <t>Accrued Expenses</t>
        </is>
      </c>
      <c r="E53" s="11" t="inlineStr">
        <is>
          <t>US</t>
        </is>
      </c>
      <c r="F53" s="11" t="inlineStr">
        <is>
          <t>Payroll</t>
        </is>
      </c>
      <c r="G53" s="11" t="inlineStr">
        <is>
          <t>Month-end payroll release</t>
        </is>
      </c>
      <c r="H53" s="19" t="n">
        <v>237</v>
      </c>
      <c r="I53" s="19" t="n">
        <v>0</v>
      </c>
      <c r="J53" s="19">
        <f>IF(ROW()=5,H5-I5,J52+H53-I53)</f>
        <v/>
      </c>
      <c r="K53" s="11" t="inlineStr">
        <is>
          <t>https://www.apexlogistics.example/internal/gl-detail-2026-ytd</t>
        </is>
      </c>
    </row>
    <row r="54">
      <c r="A54" s="18" t="n">
        <v>46048</v>
      </c>
      <c r="B54" s="11" t="inlineStr">
        <is>
          <t>J260025</t>
        </is>
      </c>
      <c r="C54" s="11" t="inlineStr">
        <is>
          <t>1000</t>
        </is>
      </c>
      <c r="D54" s="11" t="inlineStr">
        <is>
          <t>Cash &amp; Equivalents</t>
        </is>
      </c>
      <c r="E54" s="11" t="inlineStr">
        <is>
          <t>US</t>
        </is>
      </c>
      <c r="F54" s="11" t="inlineStr">
        <is>
          <t>Payroll</t>
        </is>
      </c>
      <c r="G54" s="11" t="inlineStr">
        <is>
          <t>Month-end payroll release</t>
        </is>
      </c>
      <c r="H54" s="19" t="n">
        <v>0</v>
      </c>
      <c r="I54" s="19" t="n">
        <v>237</v>
      </c>
      <c r="J54" s="19">
        <f>IF(ROW()=5,H5-I5,J53+H54-I54)</f>
        <v/>
      </c>
      <c r="K54" s="11" t="inlineStr">
        <is>
          <t>https://www.apexlogistics.example/internal/gl-detail-2026-ytd</t>
        </is>
      </c>
    </row>
    <row r="55">
      <c r="A55" s="18" t="n">
        <v>46049</v>
      </c>
      <c r="B55" s="11" t="inlineStr">
        <is>
          <t>J260026</t>
        </is>
      </c>
      <c r="C55" s="11" t="inlineStr">
        <is>
          <t>5050</t>
        </is>
      </c>
      <c r="D55" s="11" t="inlineStr">
        <is>
          <t>General &amp; Administrative</t>
        </is>
      </c>
      <c r="E55" s="11" t="inlineStr">
        <is>
          <t>US</t>
        </is>
      </c>
      <c r="F55" s="11" t="inlineStr">
        <is>
          <t>Corporate</t>
        </is>
      </c>
      <c r="G55" s="11" t="inlineStr">
        <is>
          <t>Insurance and legal accrual</t>
        </is>
      </c>
      <c r="H55" s="19" t="n">
        <v>82</v>
      </c>
      <c r="I55" s="19" t="n">
        <v>0</v>
      </c>
      <c r="J55" s="19">
        <f>IF(ROW()=5,H5-I5,J54+H55-I55)</f>
        <v/>
      </c>
      <c r="K55" s="11" t="inlineStr">
        <is>
          <t>https://www.apexlogistics.example/internal/gl-detail-2026-ytd</t>
        </is>
      </c>
    </row>
    <row r="56">
      <c r="A56" s="18" t="n">
        <v>46049</v>
      </c>
      <c r="B56" s="11" t="inlineStr">
        <is>
          <t>J260026</t>
        </is>
      </c>
      <c r="C56" s="11" t="inlineStr">
        <is>
          <t>2000</t>
        </is>
      </c>
      <c r="D56" s="11" t="inlineStr">
        <is>
          <t>Accounts Payable</t>
        </is>
      </c>
      <c r="E56" s="11" t="inlineStr">
        <is>
          <t>US</t>
        </is>
      </c>
      <c r="F56" s="11" t="inlineStr">
        <is>
          <t>Corporate</t>
        </is>
      </c>
      <c r="G56" s="11" t="inlineStr">
        <is>
          <t>Insurance and legal accrual</t>
        </is>
      </c>
      <c r="H56" s="19" t="n">
        <v>0</v>
      </c>
      <c r="I56" s="19" t="n">
        <v>82</v>
      </c>
      <c r="J56" s="19">
        <f>IF(ROW()=5,H5-I5,J55+H56-I56)</f>
        <v/>
      </c>
      <c r="K56" s="11" t="inlineStr">
        <is>
          <t>https://www.apexlogistics.example/internal/gl-detail-2026-ytd</t>
        </is>
      </c>
    </row>
    <row r="57">
      <c r="A57" s="18" t="n">
        <v>46050</v>
      </c>
      <c r="B57" s="11" t="inlineStr">
        <is>
          <t>J260027</t>
        </is>
      </c>
      <c r="C57" s="11" t="inlineStr">
        <is>
          <t>1000</t>
        </is>
      </c>
      <c r="D57" s="11" t="inlineStr">
        <is>
          <t>Cash &amp; Equivalents</t>
        </is>
      </c>
      <c r="E57" s="11" t="inlineStr">
        <is>
          <t>US</t>
        </is>
      </c>
      <c r="F57" s="11" t="inlineStr">
        <is>
          <t>Treasury</t>
        </is>
      </c>
      <c r="G57" s="11" t="inlineStr">
        <is>
          <t>Collections from major account</t>
        </is>
      </c>
      <c r="H57" s="19" t="n">
        <v>633</v>
      </c>
      <c r="I57" s="19" t="n">
        <v>0</v>
      </c>
      <c r="J57" s="19">
        <f>IF(ROW()=5,H5-I5,J56+H57-I57)</f>
        <v/>
      </c>
      <c r="K57" s="11" t="inlineStr">
        <is>
          <t>https://www.apexlogistics.example/internal/gl-detail-2026-ytd</t>
        </is>
      </c>
    </row>
    <row r="58">
      <c r="A58" s="18" t="n">
        <v>46050</v>
      </c>
      <c r="B58" s="11" t="inlineStr">
        <is>
          <t>J260027</t>
        </is>
      </c>
      <c r="C58" s="11" t="inlineStr">
        <is>
          <t>1100</t>
        </is>
      </c>
      <c r="D58" s="11" t="inlineStr">
        <is>
          <t>Accounts Receivable</t>
        </is>
      </c>
      <c r="E58" s="11" t="inlineStr">
        <is>
          <t>US</t>
        </is>
      </c>
      <c r="F58" s="11" t="inlineStr">
        <is>
          <t>Collections</t>
        </is>
      </c>
      <c r="G58" s="11" t="inlineStr">
        <is>
          <t>Collections from major account</t>
        </is>
      </c>
      <c r="H58" s="19" t="n">
        <v>0</v>
      </c>
      <c r="I58" s="19" t="n">
        <v>633</v>
      </c>
      <c r="J58" s="19">
        <f>IF(ROW()=5,H5-I5,J57+H58-I58)</f>
        <v/>
      </c>
      <c r="K58" s="11" t="inlineStr">
        <is>
          <t>https://www.apexlogistics.example/internal/gl-detail-2026-ytd</t>
        </is>
      </c>
    </row>
    <row r="59">
      <c r="A59" s="18" t="n">
        <v>46051</v>
      </c>
      <c r="B59" s="11" t="inlineStr">
        <is>
          <t>J260028</t>
        </is>
      </c>
      <c r="C59" s="11" t="inlineStr">
        <is>
          <t>5020</t>
        </is>
      </c>
      <c r="D59" s="11" t="inlineStr">
        <is>
          <t>Labor &amp; Benefits</t>
        </is>
      </c>
      <c r="E59" s="11" t="inlineStr">
        <is>
          <t>EU</t>
        </is>
      </c>
      <c r="F59" s="11" t="inlineStr">
        <is>
          <t>Operations</t>
        </is>
      </c>
      <c r="G59" s="11" t="inlineStr">
        <is>
          <t>EU payroll accrual</t>
        </is>
      </c>
      <c r="H59" s="19" t="n">
        <v>141</v>
      </c>
      <c r="I59" s="19" t="n">
        <v>0</v>
      </c>
      <c r="J59" s="19">
        <f>IF(ROW()=5,H5-I5,J58+H59-I59)</f>
        <v/>
      </c>
      <c r="K59" s="11" t="inlineStr">
        <is>
          <t>https://www.apexlogistics.example/internal/gl-detail-2026-ytd</t>
        </is>
      </c>
    </row>
    <row r="60">
      <c r="A60" s="18" t="n">
        <v>46051</v>
      </c>
      <c r="B60" s="11" t="inlineStr">
        <is>
          <t>J260028</t>
        </is>
      </c>
      <c r="C60" s="11" t="inlineStr">
        <is>
          <t>2100</t>
        </is>
      </c>
      <c r="D60" s="11" t="inlineStr">
        <is>
          <t>Accrued Expenses</t>
        </is>
      </c>
      <c r="E60" s="11" t="inlineStr">
        <is>
          <t>EU</t>
        </is>
      </c>
      <c r="F60" s="11" t="inlineStr">
        <is>
          <t>Operations</t>
        </is>
      </c>
      <c r="G60" s="11" t="inlineStr">
        <is>
          <t>EU payroll accrual</t>
        </is>
      </c>
      <c r="H60" s="19" t="n">
        <v>0</v>
      </c>
      <c r="I60" s="19" t="n">
        <v>141</v>
      </c>
      <c r="J60" s="19">
        <f>IF(ROW()=5,H5-I5,J59+H60-I60)</f>
        <v/>
      </c>
      <c r="K60" s="11" t="inlineStr">
        <is>
          <t>https://www.apexlogistics.example/internal/gl-detail-2026-ytd</t>
        </is>
      </c>
    </row>
    <row r="61">
      <c r="A61" s="18" t="n">
        <v>46052</v>
      </c>
      <c r="B61" s="11" t="inlineStr">
        <is>
          <t>J260029</t>
        </is>
      </c>
      <c r="C61" s="11" t="inlineStr">
        <is>
          <t>5030</t>
        </is>
      </c>
      <c r="D61" s="11" t="inlineStr">
        <is>
          <t>Facility &amp; Warehouse</t>
        </is>
      </c>
      <c r="E61" s="11" t="inlineStr">
        <is>
          <t>EU</t>
        </is>
      </c>
      <c r="F61" s="11" t="inlineStr">
        <is>
          <t>Warehousing</t>
        </is>
      </c>
      <c r="G61" s="11" t="inlineStr">
        <is>
          <t>Utilities accrual</t>
        </is>
      </c>
      <c r="H61" s="19" t="n">
        <v>41</v>
      </c>
      <c r="I61" s="19" t="n">
        <v>0</v>
      </c>
      <c r="J61" s="19">
        <f>IF(ROW()=5,H5-I5,J60+H61-I61)</f>
        <v/>
      </c>
      <c r="K61" s="11" t="inlineStr">
        <is>
          <t>https://www.apexlogistics.example/internal/gl-detail-2026-ytd</t>
        </is>
      </c>
    </row>
    <row r="62">
      <c r="A62" s="18" t="n">
        <v>46052</v>
      </c>
      <c r="B62" s="11" t="inlineStr">
        <is>
          <t>J260029</t>
        </is>
      </c>
      <c r="C62" s="11" t="inlineStr">
        <is>
          <t>2000</t>
        </is>
      </c>
      <c r="D62" s="11" t="inlineStr">
        <is>
          <t>Accounts Payable</t>
        </is>
      </c>
      <c r="E62" s="11" t="inlineStr">
        <is>
          <t>EU</t>
        </is>
      </c>
      <c r="F62" s="11" t="inlineStr">
        <is>
          <t>Warehousing</t>
        </is>
      </c>
      <c r="G62" s="11" t="inlineStr">
        <is>
          <t>Utilities accrual</t>
        </is>
      </c>
      <c r="H62" s="19" t="n">
        <v>0</v>
      </c>
      <c r="I62" s="19" t="n">
        <v>41</v>
      </c>
      <c r="J62" s="19">
        <f>IF(ROW()=5,H5-I5,J61+H62-I62)</f>
        <v/>
      </c>
      <c r="K62" s="11" t="inlineStr">
        <is>
          <t>https://www.apexlogistics.example/internal/gl-detail-2026-ytd</t>
        </is>
      </c>
    </row>
    <row r="63">
      <c r="A63" s="18" t="n">
        <v>46053</v>
      </c>
      <c r="B63" s="11" t="inlineStr">
        <is>
          <t>J260030</t>
        </is>
      </c>
      <c r="C63" s="11" t="inlineStr">
        <is>
          <t>5040</t>
        </is>
      </c>
      <c r="D63" s="11" t="inlineStr">
        <is>
          <t>Technology &amp; Communications</t>
        </is>
      </c>
      <c r="E63" s="11" t="inlineStr">
        <is>
          <t>US</t>
        </is>
      </c>
      <c r="F63" s="11" t="inlineStr">
        <is>
          <t>IT</t>
        </is>
      </c>
      <c r="G63" s="11" t="inlineStr">
        <is>
          <t>Telematics support expense</t>
        </is>
      </c>
      <c r="H63" s="19" t="n">
        <v>28</v>
      </c>
      <c r="I63" s="19" t="n">
        <v>0</v>
      </c>
      <c r="J63" s="19">
        <f>IF(ROW()=5,H5-I5,J62+H63-I63)</f>
        <v/>
      </c>
      <c r="K63" s="11" t="inlineStr">
        <is>
          <t>https://www.apexlogistics.example/internal/gl-detail-2026-ytd</t>
        </is>
      </c>
    </row>
    <row r="64">
      <c r="A64" s="18" t="n">
        <v>46053</v>
      </c>
      <c r="B64" s="11" t="inlineStr">
        <is>
          <t>J260030</t>
        </is>
      </c>
      <c r="C64" s="11" t="inlineStr">
        <is>
          <t>2000</t>
        </is>
      </c>
      <c r="D64" s="11" t="inlineStr">
        <is>
          <t>Accounts Payable</t>
        </is>
      </c>
      <c r="E64" s="11" t="inlineStr">
        <is>
          <t>US</t>
        </is>
      </c>
      <c r="F64" s="11" t="inlineStr">
        <is>
          <t>IT</t>
        </is>
      </c>
      <c r="G64" s="11" t="inlineStr">
        <is>
          <t>Telematics support expense</t>
        </is>
      </c>
      <c r="H64" s="19" t="n">
        <v>0</v>
      </c>
      <c r="I64" s="19" t="n">
        <v>28</v>
      </c>
      <c r="J64" s="19">
        <f>IF(ROW()=5,H5-I5,J63+H64-I64)</f>
        <v/>
      </c>
      <c r="K64" s="11" t="inlineStr">
        <is>
          <t>https://www.apexlogistics.example/internal/gl-detail-2026-ytd</t>
        </is>
      </c>
    </row>
    <row r="65">
      <c r="A65" s="20" t="n"/>
      <c r="B65" s="20" t="n"/>
      <c r="C65" s="20" t="n"/>
      <c r="D65" s="20" t="n"/>
      <c r="E65" s="20" t="n"/>
      <c r="F65" s="20" t="n"/>
      <c r="G65" s="16" t="inlineStr">
        <is>
          <t>Totals</t>
        </is>
      </c>
      <c r="H65" s="21">
        <f>SUM(H5:H64)</f>
        <v/>
      </c>
      <c r="I65" s="21">
        <f>SUM(I5:I64)</f>
        <v/>
      </c>
      <c r="J65" s="21">
        <f>H65-I65</f>
        <v/>
      </c>
      <c r="K65" s="20" t="n"/>
    </row>
  </sheetData>
  <autoFilter ref="A4:K65"/>
  <mergeCells count="2">
    <mergeCell ref="A2:K2"/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4" customWidth="1" min="9" max="9"/>
    <col width="40" customWidth="1" min="10" max="10"/>
  </cols>
  <sheetData>
    <row r="1">
      <c r="A1" s="1" t="inlineStr">
        <is>
          <t>Revenue Concentration Report</t>
        </is>
      </c>
    </row>
    <row r="2">
      <c r="A2" s="2" t="inlineStr">
        <is>
          <t>Top customers and % of sales (USD $000)</t>
        </is>
      </c>
    </row>
    <row r="4">
      <c r="A4" s="3" t="inlineStr">
        <is>
          <t>Customer</t>
        </is>
      </c>
      <c r="B4" s="3" t="inlineStr">
        <is>
          <t>Region</t>
        </is>
      </c>
      <c r="C4" s="3" t="inlineStr">
        <is>
          <t>Primary Service</t>
        </is>
      </c>
      <c r="D4" s="3" t="inlineStr">
        <is>
          <t>2025 Sales</t>
        </is>
      </c>
      <c r="E4" s="3" t="inlineStr">
        <is>
          <t>% of 2025 Sales</t>
        </is>
      </c>
      <c r="F4" s="3" t="inlineStr">
        <is>
          <t>2026 YTD Sales</t>
        </is>
      </c>
      <c r="G4" s="3" t="inlineStr">
        <is>
          <t>% of 2026 YTD</t>
        </is>
      </c>
      <c r="H4" s="3" t="inlineStr">
        <is>
          <t>DSO (Days)</t>
        </is>
      </c>
      <c r="I4" s="3" t="inlineStr">
        <is>
          <t>Credit Terms</t>
        </is>
      </c>
      <c r="J4" s="3" t="inlineStr">
        <is>
          <t>Source URL</t>
        </is>
      </c>
    </row>
    <row r="5">
      <c r="A5" s="11" t="inlineStr">
        <is>
          <t>Orion Retail Group</t>
        </is>
      </c>
      <c r="B5" s="11" t="inlineStr">
        <is>
          <t>US</t>
        </is>
      </c>
      <c r="C5" s="11" t="inlineStr">
        <is>
          <t>Linehaul</t>
        </is>
      </c>
      <c r="D5" s="31" t="n">
        <v>10200</v>
      </c>
      <c r="E5" s="32">
        <f>D5/'P&amp;L'!D10</f>
        <v/>
      </c>
      <c r="F5" s="31" t="n">
        <v>930</v>
      </c>
      <c r="G5" s="32">
        <f>F5/'P&amp;L'!E10</f>
        <v/>
      </c>
      <c r="H5" s="33" t="n">
        <v>47</v>
      </c>
      <c r="I5" s="11" t="inlineStr">
        <is>
          <t>Net 45</t>
        </is>
      </c>
      <c r="J5" s="11" t="inlineStr">
        <is>
          <t>https://www.apexlogistics.example/internal/customer-revenue</t>
        </is>
      </c>
    </row>
    <row r="6">
      <c r="A6" s="11" t="inlineStr">
        <is>
          <t>NordPort Manufacturing</t>
        </is>
      </c>
      <c r="B6" s="11" t="inlineStr">
        <is>
          <t>EU</t>
        </is>
      </c>
      <c r="C6" s="11" t="inlineStr">
        <is>
          <t>Linehaul</t>
        </is>
      </c>
      <c r="D6" s="31" t="n">
        <v>8400</v>
      </c>
      <c r="E6" s="32">
        <f>D6/'P&amp;L'!D10</f>
        <v/>
      </c>
      <c r="F6" s="31" t="n">
        <v>740</v>
      </c>
      <c r="G6" s="32">
        <f>F6/'P&amp;L'!E10</f>
        <v/>
      </c>
      <c r="H6" s="33" t="n">
        <v>52</v>
      </c>
      <c r="I6" s="11" t="inlineStr">
        <is>
          <t>Net 60</t>
        </is>
      </c>
      <c r="J6" s="11" t="inlineStr">
        <is>
          <t>https://www.apexlogistics.example/internal/customer-revenue</t>
        </is>
      </c>
    </row>
    <row r="7">
      <c r="A7" s="11" t="inlineStr">
        <is>
          <t>Atlas Pharma</t>
        </is>
      </c>
      <c r="B7" s="11" t="inlineStr">
        <is>
          <t>US</t>
        </is>
      </c>
      <c r="C7" s="11" t="inlineStr">
        <is>
          <t>Temperature-Controlled</t>
        </is>
      </c>
      <c r="D7" s="31" t="n">
        <v>7900</v>
      </c>
      <c r="E7" s="32">
        <f>D7/'P&amp;L'!D10</f>
        <v/>
      </c>
      <c r="F7" s="31" t="n">
        <v>700</v>
      </c>
      <c r="G7" s="32">
        <f>F7/'P&amp;L'!E10</f>
        <v/>
      </c>
      <c r="H7" s="33" t="n">
        <v>43</v>
      </c>
      <c r="I7" s="11" t="inlineStr">
        <is>
          <t>Net 45</t>
        </is>
      </c>
      <c r="J7" s="11" t="inlineStr">
        <is>
          <t>https://www.apexlogistics.example/internal/customer-revenue</t>
        </is>
      </c>
    </row>
    <row r="8">
      <c r="A8" s="11" t="inlineStr">
        <is>
          <t>BlueRock Foods</t>
        </is>
      </c>
      <c r="B8" s="11" t="inlineStr">
        <is>
          <t>EU</t>
        </is>
      </c>
      <c r="C8" s="11" t="inlineStr">
        <is>
          <t>Warehousing</t>
        </is>
      </c>
      <c r="D8" s="31" t="n">
        <v>6300</v>
      </c>
      <c r="E8" s="32">
        <f>D8/'P&amp;L'!D10</f>
        <v/>
      </c>
      <c r="F8" s="31" t="n">
        <v>540</v>
      </c>
      <c r="G8" s="32">
        <f>F8/'P&amp;L'!E10</f>
        <v/>
      </c>
      <c r="H8" s="33" t="n">
        <v>41</v>
      </c>
      <c r="I8" s="11" t="inlineStr">
        <is>
          <t>Net 30</t>
        </is>
      </c>
      <c r="J8" s="11" t="inlineStr">
        <is>
          <t>https://www.apexlogistics.example/internal/customer-revenue</t>
        </is>
      </c>
    </row>
    <row r="9">
      <c r="A9" s="11" t="inlineStr">
        <is>
          <t>Summit Auto Parts</t>
        </is>
      </c>
      <c r="B9" s="11" t="inlineStr">
        <is>
          <t>US</t>
        </is>
      </c>
      <c r="C9" s="11" t="inlineStr">
        <is>
          <t>Linehaul</t>
        </is>
      </c>
      <c r="D9" s="31" t="n">
        <v>6100</v>
      </c>
      <c r="E9" s="32">
        <f>D9/'P&amp;L'!D10</f>
        <v/>
      </c>
      <c r="F9" s="31" t="n">
        <v>560</v>
      </c>
      <c r="G9" s="32">
        <f>F9/'P&amp;L'!E10</f>
        <v/>
      </c>
      <c r="H9" s="33" t="n">
        <v>39</v>
      </c>
      <c r="I9" s="11" t="inlineStr">
        <is>
          <t>Net 30</t>
        </is>
      </c>
      <c r="J9" s="11" t="inlineStr">
        <is>
          <t>https://www.apexlogistics.example/internal/customer-revenue</t>
        </is>
      </c>
    </row>
    <row r="10">
      <c r="A10" s="11" t="inlineStr">
        <is>
          <t>Horizon Homeware</t>
        </is>
      </c>
      <c r="B10" s="11" t="inlineStr">
        <is>
          <t>EU</t>
        </is>
      </c>
      <c r="C10" s="11" t="inlineStr">
        <is>
          <t>Warehousing</t>
        </is>
      </c>
      <c r="D10" s="31" t="n">
        <v>5500</v>
      </c>
      <c r="E10" s="32">
        <f>D10/'P&amp;L'!D10</f>
        <v/>
      </c>
      <c r="F10" s="31" t="n">
        <v>470</v>
      </c>
      <c r="G10" s="32">
        <f>F10/'P&amp;L'!E10</f>
        <v/>
      </c>
      <c r="H10" s="33" t="n">
        <v>45</v>
      </c>
      <c r="I10" s="11" t="inlineStr">
        <is>
          <t>Net 45</t>
        </is>
      </c>
      <c r="J10" s="11" t="inlineStr">
        <is>
          <t>https://www.apexlogistics.example/internal/customer-revenue</t>
        </is>
      </c>
    </row>
    <row r="11">
      <c r="A11" s="11" t="inlineStr">
        <is>
          <t>Aquila Electronics</t>
        </is>
      </c>
      <c r="B11" s="11" t="inlineStr">
        <is>
          <t>US</t>
        </is>
      </c>
      <c r="C11" s="11" t="inlineStr">
        <is>
          <t>Customs Brokerage</t>
        </is>
      </c>
      <c r="D11" s="31" t="n">
        <v>4900</v>
      </c>
      <c r="E11" s="32">
        <f>D11/'P&amp;L'!D10</f>
        <v/>
      </c>
      <c r="F11" s="31" t="n">
        <v>420</v>
      </c>
      <c r="G11" s="32">
        <f>F11/'P&amp;L'!E10</f>
        <v/>
      </c>
      <c r="H11" s="33" t="n">
        <v>50</v>
      </c>
      <c r="I11" s="11" t="inlineStr">
        <is>
          <t>Net 45</t>
        </is>
      </c>
      <c r="J11" s="11" t="inlineStr">
        <is>
          <t>https://www.apexlogistics.example/internal/customer-revenue</t>
        </is>
      </c>
    </row>
    <row r="12">
      <c r="A12" s="11" t="inlineStr">
        <is>
          <t>NorthSea Equipment</t>
        </is>
      </c>
      <c r="B12" s="11" t="inlineStr">
        <is>
          <t>EU</t>
        </is>
      </c>
      <c r="C12" s="11" t="inlineStr">
        <is>
          <t>Linehaul</t>
        </is>
      </c>
      <c r="D12" s="31" t="n">
        <v>4700</v>
      </c>
      <c r="E12" s="32">
        <f>D12/'P&amp;L'!D10</f>
        <v/>
      </c>
      <c r="F12" s="31" t="n">
        <v>400</v>
      </c>
      <c r="G12" s="32">
        <f>F12/'P&amp;L'!E10</f>
        <v/>
      </c>
      <c r="H12" s="33" t="n">
        <v>54</v>
      </c>
      <c r="I12" s="11" t="inlineStr">
        <is>
          <t>Net 60</t>
        </is>
      </c>
      <c r="J12" s="11" t="inlineStr">
        <is>
          <t>https://www.apexlogistics.example/internal/customer-revenue</t>
        </is>
      </c>
    </row>
    <row r="13">
      <c r="A13" s="11" t="inlineStr">
        <is>
          <t>Delta Medical</t>
        </is>
      </c>
      <c r="B13" s="11" t="inlineStr">
        <is>
          <t>US</t>
        </is>
      </c>
      <c r="C13" s="11" t="inlineStr">
        <is>
          <t>Warehousing</t>
        </is>
      </c>
      <c r="D13" s="31" t="n">
        <v>4300</v>
      </c>
      <c r="E13" s="32">
        <f>D13/'P&amp;L'!D10</f>
        <v/>
      </c>
      <c r="F13" s="31" t="n">
        <v>390</v>
      </c>
      <c r="G13" s="32">
        <f>F13/'P&amp;L'!E10</f>
        <v/>
      </c>
      <c r="H13" s="33" t="n">
        <v>40</v>
      </c>
      <c r="I13" s="11" t="inlineStr">
        <is>
          <t>Net 30</t>
        </is>
      </c>
      <c r="J13" s="11" t="inlineStr">
        <is>
          <t>https://www.apexlogistics.example/internal/customer-revenue</t>
        </is>
      </c>
    </row>
    <row r="14">
      <c r="A14" s="11" t="inlineStr">
        <is>
          <t>Titan Consumer</t>
        </is>
      </c>
      <c r="B14" s="11" t="inlineStr">
        <is>
          <t>EU</t>
        </is>
      </c>
      <c r="C14" s="11" t="inlineStr">
        <is>
          <t>Customs Brokerage</t>
        </is>
      </c>
      <c r="D14" s="31" t="n">
        <v>3900</v>
      </c>
      <c r="E14" s="32">
        <f>D14/'P&amp;L'!D10</f>
        <v/>
      </c>
      <c r="F14" s="31" t="n">
        <v>340</v>
      </c>
      <c r="G14" s="32">
        <f>F14/'P&amp;L'!E10</f>
        <v/>
      </c>
      <c r="H14" s="33" t="n">
        <v>49</v>
      </c>
      <c r="I14" s="11" t="inlineStr">
        <is>
          <t>Net 45</t>
        </is>
      </c>
      <c r="J14" s="11" t="inlineStr">
        <is>
          <t>https://www.apexlogistics.example/internal/customer-revenue</t>
        </is>
      </c>
    </row>
    <row r="15">
      <c r="A15" s="16" t="inlineStr">
        <is>
          <t>Top-10 Total</t>
        </is>
      </c>
      <c r="B15" s="20" t="n"/>
      <c r="C15" s="20" t="n"/>
      <c r="D15" s="21">
        <f>SUM(D5:D14)</f>
        <v/>
      </c>
      <c r="E15" s="34">
        <f>D15/'P&amp;L'!D10</f>
        <v/>
      </c>
      <c r="F15" s="21">
        <f>SUM(F5:F14)</f>
        <v/>
      </c>
      <c r="G15" s="34">
        <f>F15/'P&amp;L'!E10</f>
        <v/>
      </c>
      <c r="H15" s="20" t="n"/>
      <c r="I15" s="20" t="n"/>
      <c r="J15" s="20" t="n"/>
    </row>
    <row r="17">
      <c r="A17" s="35" t="inlineStr">
        <is>
          <t>Top-10 concentration is a key underwriting KPI.</t>
        </is>
      </c>
    </row>
    <row r="18">
      <c r="A18" s="35" t="inlineStr">
        <is>
          <t>Formulas link to total revenue in 'P&amp;L' for consistency.</t>
        </is>
      </c>
    </row>
  </sheetData>
  <autoFilter ref="A4:J14"/>
  <mergeCells count="2">
    <mergeCell ref="A1:J1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28" customWidth="1" min="6" max="6"/>
  </cols>
  <sheetData>
    <row r="1">
      <c r="A1" s="1" t="inlineStr">
        <is>
          <t>Gross Margin Trend by Service Line</t>
        </is>
      </c>
    </row>
    <row r="2">
      <c r="A2" s="2" t="inlineStr">
        <is>
          <t>Historical and YTD margin profile (USD $000)</t>
        </is>
      </c>
    </row>
    <row r="4">
      <c r="A4" s="3" t="inlineStr">
        <is>
          <t>Line Item</t>
        </is>
      </c>
      <c r="B4" s="3" t="inlineStr">
        <is>
          <t>2023A</t>
        </is>
      </c>
      <c r="C4" s="3" t="inlineStr">
        <is>
          <t>2024A</t>
        </is>
      </c>
      <c r="D4" s="3" t="inlineStr">
        <is>
          <t>2025A</t>
        </is>
      </c>
      <c r="E4" s="3" t="inlineStr">
        <is>
          <t>2026 YTD</t>
        </is>
      </c>
      <c r="F4" s="3" t="inlineStr">
        <is>
          <t>Notes</t>
        </is>
      </c>
    </row>
    <row r="6">
      <c r="A6" s="10" t="inlineStr">
        <is>
          <t>Revenue</t>
        </is>
      </c>
      <c r="B6" s="29" t="n"/>
      <c r="C6" s="29" t="n"/>
      <c r="D6" s="29" t="n"/>
      <c r="E6" s="29" t="n"/>
      <c r="F6" s="30" t="n"/>
    </row>
    <row r="7">
      <c r="A7" s="11" t="inlineStr">
        <is>
          <t>Linehaul Revenue</t>
        </is>
      </c>
      <c r="B7" s="31">
        <f>'P&amp;L'!B7</f>
        <v/>
      </c>
      <c r="C7" s="31">
        <f>'P&amp;L'!C7</f>
        <v/>
      </c>
      <c r="D7" s="31">
        <f>'P&amp;L'!D7</f>
        <v/>
      </c>
      <c r="E7" s="31">
        <f>'P&amp;L'!E7</f>
        <v/>
      </c>
      <c r="F7" s="11" t="inlineStr">
        <is>
          <t>Linked from P&amp;L</t>
        </is>
      </c>
    </row>
    <row r="8">
      <c r="A8" s="11" t="inlineStr">
        <is>
          <t>Warehousing Revenue</t>
        </is>
      </c>
      <c r="B8" s="31">
        <f>'P&amp;L'!B8</f>
        <v/>
      </c>
      <c r="C8" s="31">
        <f>'P&amp;L'!C8</f>
        <v/>
      </c>
      <c r="D8" s="31">
        <f>'P&amp;L'!D8</f>
        <v/>
      </c>
      <c r="E8" s="31">
        <f>'P&amp;L'!E8</f>
        <v/>
      </c>
      <c r="F8" s="11" t="inlineStr">
        <is>
          <t>Linked from P&amp;L</t>
        </is>
      </c>
    </row>
    <row r="9">
      <c r="A9" s="11" t="inlineStr">
        <is>
          <t>Customs &amp; Other Revenue</t>
        </is>
      </c>
      <c r="B9" s="31">
        <f>'P&amp;L'!B9</f>
        <v/>
      </c>
      <c r="C9" s="31">
        <f>'P&amp;L'!C9</f>
        <v/>
      </c>
      <c r="D9" s="31">
        <f>'P&amp;L'!D9</f>
        <v/>
      </c>
      <c r="E9" s="31">
        <f>'P&amp;L'!E9</f>
        <v/>
      </c>
      <c r="F9" s="11" t="inlineStr">
        <is>
          <t>Linked from P&amp;L</t>
        </is>
      </c>
    </row>
    <row r="10">
      <c r="A10" s="16" t="inlineStr">
        <is>
          <t>Total Revenue</t>
        </is>
      </c>
      <c r="B10" s="21">
        <f>SUM(B7:B9)</f>
        <v/>
      </c>
      <c r="C10" s="21">
        <f>SUM(C7:C9)</f>
        <v/>
      </c>
      <c r="D10" s="21">
        <f>SUM(D7:D9)</f>
        <v/>
      </c>
      <c r="E10" s="21">
        <f>SUM(E7:E9)</f>
        <v/>
      </c>
      <c r="F10" s="20" t="inlineStr">
        <is>
          <t>Cross-check to P&amp;L totals</t>
        </is>
      </c>
    </row>
    <row r="12">
      <c r="A12" s="10" t="inlineStr">
        <is>
          <t>Gross Margin Assumptions</t>
        </is>
      </c>
      <c r="B12" s="29" t="n"/>
      <c r="C12" s="29" t="n"/>
      <c r="D12" s="29" t="n"/>
      <c r="E12" s="29" t="n"/>
      <c r="F12" s="30" t="n"/>
    </row>
    <row r="13">
      <c r="A13" s="11" t="inlineStr">
        <is>
          <t>Linehaul GM %</t>
        </is>
      </c>
      <c r="B13" s="36" t="n">
        <v>0.185</v>
      </c>
      <c r="C13" s="36" t="n">
        <v>0.192</v>
      </c>
      <c r="D13" s="36" t="n">
        <v>0.198</v>
      </c>
      <c r="E13" s="36" t="n">
        <v>0.194</v>
      </c>
      <c r="F13" s="11" t="inlineStr">
        <is>
          <t>Input</t>
        </is>
      </c>
    </row>
    <row r="14">
      <c r="A14" s="11" t="inlineStr">
        <is>
          <t>Warehousing GM %</t>
        </is>
      </c>
      <c r="B14" s="36" t="n">
        <v>0.322</v>
      </c>
      <c r="C14" s="36" t="n">
        <v>0.33</v>
      </c>
      <c r="D14" s="36" t="n">
        <v>0.338</v>
      </c>
      <c r="E14" s="36" t="n">
        <v>0.334</v>
      </c>
      <c r="F14" s="11" t="inlineStr">
        <is>
          <t>Input</t>
        </is>
      </c>
    </row>
    <row r="15">
      <c r="A15" s="11" t="inlineStr">
        <is>
          <t>Customs GM %</t>
        </is>
      </c>
      <c r="B15" s="36" t="n">
        <v>0.575</v>
      </c>
      <c r="C15" s="36" t="n">
        <v>0.5679999999999999</v>
      </c>
      <c r="D15" s="36" t="n">
        <v>0.5600000000000001</v>
      </c>
      <c r="E15" s="36" t="n">
        <v>0.5659999999999999</v>
      </c>
      <c r="F15" s="11" t="inlineStr">
        <is>
          <t>Input</t>
        </is>
      </c>
    </row>
    <row r="17">
      <c r="A17" s="10" t="inlineStr">
        <is>
          <t>Derived Gross Profit</t>
        </is>
      </c>
      <c r="B17" s="29" t="n"/>
      <c r="C17" s="29" t="n"/>
      <c r="D17" s="29" t="n"/>
      <c r="E17" s="29" t="n"/>
      <c r="F17" s="30" t="n"/>
    </row>
    <row r="18">
      <c r="A18" s="11" t="inlineStr">
        <is>
          <t>Linehaul COGS</t>
        </is>
      </c>
      <c r="B18" s="31">
        <f>B7*(1-B13)</f>
        <v/>
      </c>
      <c r="C18" s="31">
        <f>C7*(1-C13)</f>
        <v/>
      </c>
      <c r="D18" s="31">
        <f>D7*(1-D13)</f>
        <v/>
      </c>
      <c r="E18" s="31">
        <f>E7*(1-E13)</f>
        <v/>
      </c>
      <c r="F18" s="11" t="inlineStr">
        <is>
          <t>Derived</t>
        </is>
      </c>
    </row>
    <row r="19">
      <c r="A19" s="11" t="inlineStr">
        <is>
          <t>Warehousing COGS</t>
        </is>
      </c>
      <c r="B19" s="31">
        <f>B8*(1-B14)</f>
        <v/>
      </c>
      <c r="C19" s="31">
        <f>C8*(1-C14)</f>
        <v/>
      </c>
      <c r="D19" s="31">
        <f>D8*(1-D14)</f>
        <v/>
      </c>
      <c r="E19" s="31">
        <f>E8*(1-E14)</f>
        <v/>
      </c>
      <c r="F19" s="11" t="inlineStr">
        <is>
          <t>Derived</t>
        </is>
      </c>
    </row>
    <row r="20">
      <c r="A20" s="11" t="inlineStr">
        <is>
          <t>Customs COGS</t>
        </is>
      </c>
      <c r="B20" s="31">
        <f>B9*(1-B15)</f>
        <v/>
      </c>
      <c r="C20" s="31">
        <f>C9*(1-C15)</f>
        <v/>
      </c>
      <c r="D20" s="31">
        <f>D9*(1-D15)</f>
        <v/>
      </c>
      <c r="E20" s="31">
        <f>E9*(1-E15)</f>
        <v/>
      </c>
      <c r="F20" s="11" t="inlineStr">
        <is>
          <t>Derived</t>
        </is>
      </c>
    </row>
    <row r="21">
      <c r="A21" s="16" t="inlineStr">
        <is>
          <t>Total Service COGS</t>
        </is>
      </c>
      <c r="B21" s="21">
        <f>SUM(B18:B20)</f>
        <v/>
      </c>
      <c r="C21" s="21">
        <f>SUM(C18:C20)</f>
        <v/>
      </c>
      <c r="D21" s="21">
        <f>SUM(D18:D20)</f>
        <v/>
      </c>
      <c r="E21" s="21">
        <f>SUM(E18:E20)</f>
        <v/>
      </c>
      <c r="F21" s="20" t="inlineStr">
        <is>
          <t>Derived</t>
        </is>
      </c>
    </row>
    <row r="22">
      <c r="A22" s="16" t="inlineStr">
        <is>
          <t>Gross Profit</t>
        </is>
      </c>
      <c r="B22" s="21">
        <f>B10-B21</f>
        <v/>
      </c>
      <c r="C22" s="21">
        <f>C10-C21</f>
        <v/>
      </c>
      <c r="D22" s="21">
        <f>D10-D21</f>
        <v/>
      </c>
      <c r="E22" s="21">
        <f>E10-E21</f>
        <v/>
      </c>
      <c r="F22" s="20" t="inlineStr">
        <is>
          <t>Derived</t>
        </is>
      </c>
    </row>
    <row r="23">
      <c r="A23" s="16" t="inlineStr">
        <is>
          <t>Gross Margin %</t>
        </is>
      </c>
      <c r="B23" s="34">
        <f>IFERROR(B22/B10,0)</f>
        <v/>
      </c>
      <c r="C23" s="34">
        <f>IFERROR(C22/C10,0)</f>
        <v/>
      </c>
      <c r="D23" s="34">
        <f>IFERROR(D22/D10,0)</f>
        <v/>
      </c>
      <c r="E23" s="34">
        <f>IFERROR(E22/E10,0)</f>
        <v/>
      </c>
      <c r="F23" s="20" t="inlineStr">
        <is>
          <t>Derived</t>
        </is>
      </c>
    </row>
  </sheetData>
  <autoFilter ref="A4:F23"/>
  <mergeCells count="5">
    <mergeCell ref="A2:F2"/>
    <mergeCell ref="A1:F1"/>
    <mergeCell ref="A6:F6"/>
    <mergeCell ref="A17:F17"/>
    <mergeCell ref="A12:F1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4" customWidth="1" min="4" max="4"/>
    <col width="1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Inventory Report &amp; Turnover Metrics</t>
        </is>
      </c>
    </row>
    <row r="2">
      <c r="A2" s="2" t="inlineStr">
        <is>
          <t>Inventory-based support schedules (USD $000)</t>
        </is>
      </c>
    </row>
    <row r="4">
      <c r="A4" s="10" t="inlineStr">
        <is>
          <t>Current Inventory Position (As of 2026-01-31)</t>
        </is>
      </c>
      <c r="B4" s="29" t="n"/>
      <c r="C4" s="29" t="n"/>
      <c r="D4" s="29" t="n"/>
      <c r="E4" s="29" t="n"/>
      <c r="F4" s="29" t="n"/>
      <c r="G4" s="29" t="n"/>
      <c r="H4" s="30" t="n"/>
    </row>
    <row r="5">
      <c r="A5" s="3" t="inlineStr">
        <is>
          <t>Category</t>
        </is>
      </c>
      <c r="B5" s="3" t="inlineStr">
        <is>
          <t>Units</t>
        </is>
      </c>
      <c r="C5" s="3" t="inlineStr">
        <is>
          <t>Unit Cost</t>
        </is>
      </c>
      <c r="D5" s="3" t="inlineStr">
        <is>
          <t>Book Value</t>
        </is>
      </c>
      <c r="E5" s="3" t="inlineStr">
        <is>
          <t>Aging Bucket</t>
        </is>
      </c>
      <c r="F5" s="3" t="inlineStr">
        <is>
          <t>Eligible %</t>
        </is>
      </c>
      <c r="G5" s="3" t="inlineStr">
        <is>
          <t>Eligible Value</t>
        </is>
      </c>
      <c r="H5" s="3" t="inlineStr">
        <is>
          <t>Source URL</t>
        </is>
      </c>
    </row>
    <row r="6">
      <c r="A6" s="11" t="inlineStr">
        <is>
          <t>Packaging &amp; Pallets</t>
        </is>
      </c>
      <c r="B6" s="33" t="n">
        <v>8800</v>
      </c>
      <c r="C6" s="37" t="n">
        <v>0.11</v>
      </c>
      <c r="D6" s="31" t="n">
        <v>968</v>
      </c>
      <c r="E6" s="11" t="inlineStr">
        <is>
          <t>Current</t>
        </is>
      </c>
      <c r="F6" s="32" t="n">
        <v>0.95</v>
      </c>
      <c r="G6" s="31">
        <f>D6*F6</f>
        <v/>
      </c>
      <c r="H6" s="11" t="inlineStr">
        <is>
          <t>https://www.apexlogistics.example/internal/inventory-ledger</t>
        </is>
      </c>
    </row>
    <row r="7">
      <c r="A7" s="11" t="inlineStr">
        <is>
          <t>Cross-Dock Spare Parts</t>
        </is>
      </c>
      <c r="B7" s="33" t="n">
        <v>3200</v>
      </c>
      <c r="C7" s="37" t="n">
        <v>0.18</v>
      </c>
      <c r="D7" s="31" t="n">
        <v>576</v>
      </c>
      <c r="E7" s="11" t="inlineStr">
        <is>
          <t>1-90 Days</t>
        </is>
      </c>
      <c r="F7" s="32" t="n">
        <v>0.9</v>
      </c>
      <c r="G7" s="31">
        <f>D7*F7</f>
        <v/>
      </c>
      <c r="H7" s="11" t="inlineStr">
        <is>
          <t>https://www.apexlogistics.example/internal/inventory-ledger</t>
        </is>
      </c>
    </row>
    <row r="8">
      <c r="A8" s="11" t="inlineStr">
        <is>
          <t>Fleet Maintenance Parts</t>
        </is>
      </c>
      <c r="B8" s="33" t="n">
        <v>2400</v>
      </c>
      <c r="C8" s="37" t="n">
        <v>0.22</v>
      </c>
      <c r="D8" s="31" t="n">
        <v>528</v>
      </c>
      <c r="E8" s="11" t="inlineStr">
        <is>
          <t>1-90 Days</t>
        </is>
      </c>
      <c r="F8" s="32" t="n">
        <v>0.85</v>
      </c>
      <c r="G8" s="31">
        <f>D8*F8</f>
        <v/>
      </c>
      <c r="H8" s="11" t="inlineStr">
        <is>
          <t>https://www.apexlogistics.example/internal/inventory-ledger</t>
        </is>
      </c>
    </row>
    <row r="9">
      <c r="A9" s="11" t="inlineStr">
        <is>
          <t>Safety &amp; Consumables</t>
        </is>
      </c>
      <c r="B9" s="33" t="n">
        <v>4300</v>
      </c>
      <c r="C9" s="37" t="n">
        <v>0.07000000000000001</v>
      </c>
      <c r="D9" s="31" t="n">
        <v>301</v>
      </c>
      <c r="E9" s="11" t="inlineStr">
        <is>
          <t>Current</t>
        </is>
      </c>
      <c r="F9" s="32" t="n">
        <v>0.95</v>
      </c>
      <c r="G9" s="31">
        <f>D9*F9</f>
        <v/>
      </c>
      <c r="H9" s="11" t="inlineStr">
        <is>
          <t>https://www.apexlogistics.example/internal/inventory-ledger</t>
        </is>
      </c>
    </row>
    <row r="10">
      <c r="A10" s="11" t="inlineStr">
        <is>
          <t>Returns Processing Stock</t>
        </is>
      </c>
      <c r="B10" s="33" t="n">
        <v>1700</v>
      </c>
      <c r="C10" s="37" t="n">
        <v>0.19</v>
      </c>
      <c r="D10" s="31" t="n">
        <v>323</v>
      </c>
      <c r="E10" s="11" t="inlineStr">
        <is>
          <t>90+ Days</t>
        </is>
      </c>
      <c r="F10" s="32" t="n">
        <v>0.5</v>
      </c>
      <c r="G10" s="31">
        <f>D10*F10</f>
        <v/>
      </c>
      <c r="H10" s="11" t="inlineStr">
        <is>
          <t>https://www.apexlogistics.example/internal/inventory-ledger</t>
        </is>
      </c>
    </row>
    <row r="11">
      <c r="A11" s="16" t="inlineStr">
        <is>
          <t>Total Current Inventory</t>
        </is>
      </c>
      <c r="B11" s="20" t="n"/>
      <c r="C11" s="20" t="n"/>
      <c r="D11" s="21">
        <f>SUM(D6:D10)</f>
        <v/>
      </c>
      <c r="E11" s="20" t="n"/>
      <c r="F11" s="20" t="n"/>
      <c r="G11" s="21">
        <f>SUM(G6:G10)</f>
        <v/>
      </c>
      <c r="H11" s="20" t="n"/>
    </row>
    <row r="13">
      <c r="A13" s="10" t="inlineStr">
        <is>
          <t>Turnover Metrics by Period</t>
        </is>
      </c>
      <c r="B13" s="29" t="n"/>
      <c r="C13" s="29" t="n"/>
      <c r="D13" s="29" t="n"/>
      <c r="E13" s="29" t="n"/>
      <c r="F13" s="29" t="n"/>
      <c r="G13" s="29" t="n"/>
      <c r="H13" s="30" t="n"/>
    </row>
    <row r="14">
      <c r="A14" s="3" t="inlineStr">
        <is>
          <t>Metric</t>
        </is>
      </c>
      <c r="B14" s="3" t="inlineStr">
        <is>
          <t>2023A</t>
        </is>
      </c>
      <c r="C14" s="3" t="inlineStr">
        <is>
          <t>2024A</t>
        </is>
      </c>
      <c r="D14" s="3" t="inlineStr">
        <is>
          <t>2025A</t>
        </is>
      </c>
      <c r="E14" s="3" t="inlineStr">
        <is>
          <t>2026 YTD</t>
        </is>
      </c>
      <c r="F14" s="3" t="inlineStr">
        <is>
          <t>Annualized 2026E</t>
        </is>
      </c>
      <c r="G14" s="3" t="inlineStr">
        <is>
          <t>Notes</t>
        </is>
      </c>
      <c r="H14" s="3" t="inlineStr">
        <is>
          <t>Source URL</t>
        </is>
      </c>
    </row>
    <row r="15">
      <c r="A15" s="11" t="inlineStr">
        <is>
          <t>Beginning Inventory</t>
        </is>
      </c>
      <c r="B15" s="31" t="n">
        <v>1750</v>
      </c>
      <c r="C15" s="31">
        <f>'Balance_Sheet'!B9</f>
        <v/>
      </c>
      <c r="D15" s="31">
        <f>'Balance_Sheet'!C9</f>
        <v/>
      </c>
      <c r="E15" s="31">
        <f>'Balance_Sheet'!D9</f>
        <v/>
      </c>
      <c r="F15" s="31">
        <f>'Balance_Sheet'!D9</f>
        <v/>
      </c>
      <c r="G15" s="11" t="inlineStr">
        <is>
          <t>Prior period end</t>
        </is>
      </c>
      <c r="H15" s="11" t="inlineStr">
        <is>
          <t>https://www.apexlogistics.example/internal/inventory-ledger</t>
        </is>
      </c>
    </row>
    <row r="16">
      <c r="A16" s="11" t="inlineStr">
        <is>
          <t>Ending Inventory</t>
        </is>
      </c>
      <c r="B16" s="31">
        <f>'Balance_Sheet'!B9</f>
        <v/>
      </c>
      <c r="C16" s="31">
        <f>'Balance_Sheet'!C9</f>
        <v/>
      </c>
      <c r="D16" s="31">
        <f>'Balance_Sheet'!D9</f>
        <v/>
      </c>
      <c r="E16" s="31">
        <f>'Balance_Sheet'!E9</f>
        <v/>
      </c>
      <c r="F16" s="31">
        <f>'Balance_Sheet'!E9</f>
        <v/>
      </c>
      <c r="G16" s="11" t="inlineStr">
        <is>
          <t>Balance sheet tie</t>
        </is>
      </c>
      <c r="H16" s="11" t="inlineStr">
        <is>
          <t>https://www.apexlogistics.example/internal/inventory-ledger</t>
        </is>
      </c>
    </row>
    <row r="17">
      <c r="A17" s="11" t="inlineStr">
        <is>
          <t>Average Inventory</t>
        </is>
      </c>
      <c r="B17" s="31">
        <f>(B15+B16)/2</f>
        <v/>
      </c>
      <c r="C17" s="31">
        <f>(C15+C16)/2</f>
        <v/>
      </c>
      <c r="D17" s="31">
        <f>(D15+D16)/2</f>
        <v/>
      </c>
      <c r="E17" s="31">
        <f>(E15+E16)/2</f>
        <v/>
      </c>
      <c r="F17" s="31">
        <f>(F15+F16)/2</f>
        <v/>
      </c>
      <c r="G17" s="11" t="inlineStr">
        <is>
          <t>Derived</t>
        </is>
      </c>
      <c r="H17" s="11" t="inlineStr">
        <is>
          <t>https://www.apexlogistics.example/internal/inventory-ledger</t>
        </is>
      </c>
    </row>
    <row r="18">
      <c r="A18" s="11" t="inlineStr">
        <is>
          <t>Inventory-Linked COGS</t>
        </is>
      </c>
      <c r="B18" s="38" t="n">
        <v>1225</v>
      </c>
      <c r="C18" s="38" t="n">
        <v>1320</v>
      </c>
      <c r="D18" s="38" t="n">
        <v>1435</v>
      </c>
      <c r="E18" s="38" t="n">
        <v>128</v>
      </c>
      <c r="F18" s="38">
        <f>E18*12</f>
        <v/>
      </c>
      <c r="G18" s="11" t="inlineStr">
        <is>
          <t>Input / annualized</t>
        </is>
      </c>
      <c r="H18" s="11" t="inlineStr">
        <is>
          <t>https://www.cscmp.org</t>
        </is>
      </c>
    </row>
    <row r="19">
      <c r="A19" s="13" t="inlineStr">
        <is>
          <t>Inventory Turnover (x)</t>
        </is>
      </c>
      <c r="B19" s="39">
        <f>IFERROR(B18/B17,0)</f>
        <v/>
      </c>
      <c r="C19" s="39">
        <f>IFERROR(C18/C17,0)</f>
        <v/>
      </c>
      <c r="D19" s="39">
        <f>IFERROR(D18/D17,0)</f>
        <v/>
      </c>
      <c r="E19" s="39">
        <f>IFERROR(E18/E17,0)</f>
        <v/>
      </c>
      <c r="F19" s="39">
        <f>IFERROR(F18/F17,0)</f>
        <v/>
      </c>
      <c r="G19" s="11" t="inlineStr">
        <is>
          <t>COGS / Avg Inventory</t>
        </is>
      </c>
      <c r="H19" s="11" t="inlineStr">
        <is>
          <t>https://www.cscmp.org</t>
        </is>
      </c>
    </row>
    <row r="20">
      <c r="A20" s="16" t="inlineStr">
        <is>
          <t>Days Inventory on Hand (DIO)</t>
        </is>
      </c>
      <c r="B20" s="40">
        <f>IFERROR(365/B19,0)</f>
        <v/>
      </c>
      <c r="C20" s="40">
        <f>IFERROR(365/C19,0)</f>
        <v/>
      </c>
      <c r="D20" s="40">
        <f>IFERROR(365/D19,0)</f>
        <v/>
      </c>
      <c r="E20" s="40">
        <f>IFERROR(365/E19,0)</f>
        <v/>
      </c>
      <c r="F20" s="40">
        <f>IFERROR(365/F19,0)</f>
        <v/>
      </c>
      <c r="G20" s="20" t="inlineStr">
        <is>
          <t>365 / Turnover</t>
        </is>
      </c>
      <c r="H20" s="20" t="inlineStr">
        <is>
          <t>https://www.cscmp.org</t>
        </is>
      </c>
    </row>
  </sheetData>
  <autoFilter ref="A5:H18"/>
  <mergeCells count="4">
    <mergeCell ref="A4:H4"/>
    <mergeCell ref="A13:H13"/>
    <mergeCell ref="A2:H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40" customWidth="1" min="8" max="8"/>
  </cols>
  <sheetData>
    <row r="1">
      <c r="A1" s="1" t="inlineStr">
        <is>
          <t>Capital Expenditure History and Plan</t>
        </is>
      </c>
    </row>
    <row r="2">
      <c r="A2" s="2" t="inlineStr">
        <is>
          <t>Historical and forward capex profile (USD $000)</t>
        </is>
      </c>
    </row>
    <row r="4">
      <c r="A4" s="3" t="inlineStr">
        <is>
          <t>Category</t>
        </is>
      </c>
      <c r="B4" s="3" t="inlineStr">
        <is>
          <t>2023A</t>
        </is>
      </c>
      <c r="C4" s="3" t="inlineStr">
        <is>
          <t>2024A</t>
        </is>
      </c>
      <c r="D4" s="3" t="inlineStr">
        <is>
          <t>2025A</t>
        </is>
      </c>
      <c r="E4" s="3" t="inlineStr">
        <is>
          <t>2026P</t>
        </is>
      </c>
      <c r="F4" s="3" t="inlineStr">
        <is>
          <t>2027P</t>
        </is>
      </c>
      <c r="G4" s="3" t="inlineStr">
        <is>
          <t>2Y Plan Total</t>
        </is>
      </c>
      <c r="H4" s="3" t="inlineStr">
        <is>
          <t>Source URL</t>
        </is>
      </c>
    </row>
    <row r="5">
      <c r="A5" s="11" t="inlineStr">
        <is>
          <t>Fleet Replacement</t>
        </is>
      </c>
      <c r="B5" s="31" t="n">
        <v>1700</v>
      </c>
      <c r="C5" s="31" t="n">
        <v>1870</v>
      </c>
      <c r="D5" s="31" t="n">
        <v>2125</v>
      </c>
      <c r="E5" s="38" t="n">
        <v>2350</v>
      </c>
      <c r="F5" s="38" t="n">
        <v>2450</v>
      </c>
      <c r="G5" s="31">
        <f>SUM(E5:F5)</f>
        <v/>
      </c>
      <c r="H5" s="11" t="inlineStr">
        <is>
          <t>https://www.apexlogistics.example/internal/capex-plan</t>
        </is>
      </c>
    </row>
    <row r="6">
      <c r="A6" s="11" t="inlineStr">
        <is>
          <t>Warehouse Automation</t>
        </is>
      </c>
      <c r="B6" s="31" t="n">
        <v>740</v>
      </c>
      <c r="C6" s="31" t="n">
        <v>865</v>
      </c>
      <c r="D6" s="31" t="n">
        <v>980</v>
      </c>
      <c r="E6" s="38" t="n">
        <v>1150</v>
      </c>
      <c r="F6" s="38" t="n">
        <v>1320</v>
      </c>
      <c r="G6" s="31">
        <f>SUM(E6:F6)</f>
        <v/>
      </c>
      <c r="H6" s="11" t="inlineStr">
        <is>
          <t>https://www.apexlogistics.example/internal/capex-plan</t>
        </is>
      </c>
    </row>
    <row r="7">
      <c r="A7" s="11" t="inlineStr">
        <is>
          <t>TMS / Data Platforms</t>
        </is>
      </c>
      <c r="B7" s="31" t="n">
        <v>615</v>
      </c>
      <c r="C7" s="31" t="n">
        <v>730</v>
      </c>
      <c r="D7" s="31" t="n">
        <v>850</v>
      </c>
      <c r="E7" s="38" t="n">
        <v>980</v>
      </c>
      <c r="F7" s="38" t="n">
        <v>1120</v>
      </c>
      <c r="G7" s="31">
        <f>SUM(E7:F7)</f>
        <v/>
      </c>
      <c r="H7" s="11" t="inlineStr">
        <is>
          <t>https://www.apexlogistics.example/internal/capex-plan</t>
        </is>
      </c>
    </row>
    <row r="8">
      <c r="A8" s="11" t="inlineStr">
        <is>
          <t>Facility Upgrades</t>
        </is>
      </c>
      <c r="B8" s="31" t="n">
        <v>705</v>
      </c>
      <c r="C8" s="31" t="n">
        <v>810</v>
      </c>
      <c r="D8" s="31" t="n">
        <v>960</v>
      </c>
      <c r="E8" s="38" t="n">
        <v>1090</v>
      </c>
      <c r="F8" s="38" t="n">
        <v>1240</v>
      </c>
      <c r="G8" s="31">
        <f>SUM(E8:F8)</f>
        <v/>
      </c>
      <c r="H8" s="11" t="inlineStr">
        <is>
          <t>https://www.apexlogistics.example/internal/capex-plan</t>
        </is>
      </c>
    </row>
    <row r="9">
      <c r="A9" s="11" t="inlineStr">
        <is>
          <t>Sustainability (EV + Energy)</t>
        </is>
      </c>
      <c r="B9" s="31" t="n">
        <v>431</v>
      </c>
      <c r="C9" s="31" t="n">
        <v>420</v>
      </c>
      <c r="D9" s="31" t="n">
        <v>505</v>
      </c>
      <c r="E9" s="38" t="n">
        <v>670</v>
      </c>
      <c r="F9" s="38" t="n">
        <v>850</v>
      </c>
      <c r="G9" s="31">
        <f>SUM(E9:F9)</f>
        <v/>
      </c>
      <c r="H9" s="11" t="inlineStr">
        <is>
          <t>https://www.apexlogistics.example/internal/capex-plan</t>
        </is>
      </c>
    </row>
    <row r="10">
      <c r="A10" s="16" t="inlineStr">
        <is>
          <t>Total Capex</t>
        </is>
      </c>
      <c r="B10" s="21">
        <f>SUM(B5:B9)</f>
        <v/>
      </c>
      <c r="C10" s="21">
        <f>SUM(C5:C9)</f>
        <v/>
      </c>
      <c r="D10" s="21">
        <f>SUM(D5:D9)</f>
        <v/>
      </c>
      <c r="E10" s="21">
        <f>SUM(E5:E9)</f>
        <v/>
      </c>
      <c r="F10" s="21">
        <f>SUM(F5:F9)</f>
        <v/>
      </c>
      <c r="G10" s="21">
        <f>SUM(G5:G9)</f>
        <v/>
      </c>
      <c r="H10" s="20" t="n"/>
    </row>
    <row r="12">
      <c r="A12" s="10" t="inlineStr">
        <is>
          <t>Capex Intensity Metrics</t>
        </is>
      </c>
      <c r="B12" s="29" t="n"/>
      <c r="C12" s="29" t="n"/>
      <c r="D12" s="29" t="n"/>
      <c r="E12" s="29" t="n"/>
      <c r="F12" s="29" t="n"/>
      <c r="G12" s="29" t="n"/>
      <c r="H12" s="30" t="n"/>
    </row>
    <row r="13">
      <c r="A13" s="16" t="inlineStr">
        <is>
          <t>Capex / Revenue</t>
        </is>
      </c>
      <c r="B13" s="34">
        <f>IFERROR(B10/'P&amp;L'!B10,0)</f>
        <v/>
      </c>
      <c r="C13" s="34">
        <f>IFERROR(C10/'P&amp;L'!C10,0)</f>
        <v/>
      </c>
      <c r="D13" s="34">
        <f>IFERROR(D10/'P&amp;L'!D10,0)</f>
        <v/>
      </c>
      <c r="E13" s="34">
        <f>IFERROR(E10/(Projections_24M!B47),0)</f>
        <v/>
      </c>
      <c r="F13" s="34">
        <f>IFERROR(F10/(Projections_24M!C47),0)</f>
        <v/>
      </c>
      <c r="G13" s="34">
        <f>AVERAGE(E13:F13)</f>
        <v/>
      </c>
      <c r="H13" s="20" t="inlineStr">
        <is>
          <t>Historical linked to P&amp;L; plan linked to projections</t>
        </is>
      </c>
    </row>
  </sheetData>
  <autoFilter ref="A4:H10"/>
  <mergeCells count="3">
    <mergeCell ref="A12:H12"/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2" customWidth="1" min="3" max="3"/>
    <col width="18" customWidth="1" min="4" max="4"/>
    <col width="42" customWidth="1" min="5" max="5"/>
  </cols>
  <sheetData>
    <row r="1">
      <c r="A1" s="1" t="inlineStr">
        <is>
          <t>Existing Borrowing Base Report</t>
        </is>
      </c>
    </row>
    <row r="2">
      <c r="A2" s="2" t="inlineStr">
        <is>
          <t>Asset-based lending availability calculation (USD $000)</t>
        </is>
      </c>
    </row>
    <row r="4">
      <c r="A4" s="3" t="inlineStr">
        <is>
          <t>Component</t>
        </is>
      </c>
      <c r="B4" s="3" t="inlineStr">
        <is>
          <t>Value</t>
        </is>
      </c>
      <c r="C4" s="3" t="inlineStr">
        <is>
          <t>Rate</t>
        </is>
      </c>
      <c r="D4" s="3" t="inlineStr">
        <is>
          <t>Advance Amount</t>
        </is>
      </c>
      <c r="E4" s="3" t="inlineStr">
        <is>
          <t>Notes / Source</t>
        </is>
      </c>
    </row>
    <row r="6">
      <c r="A6" s="10" t="inlineStr">
        <is>
          <t>Accounts Receivable Base</t>
        </is>
      </c>
      <c r="B6" s="29" t="n"/>
      <c r="C6" s="29" t="n"/>
      <c r="D6" s="29" t="n"/>
      <c r="E6" s="30" t="n"/>
    </row>
    <row r="7">
      <c r="A7" s="11" t="inlineStr">
        <is>
          <t>Gross A/R (from aging)</t>
        </is>
      </c>
      <c r="B7" s="31">
        <f>AR_Aging!K20</f>
        <v/>
      </c>
      <c r="C7" s="11" t="n"/>
      <c r="D7" s="11" t="n"/>
      <c r="E7" s="11" t="inlineStr">
        <is>
          <t>AR aging total</t>
        </is>
      </c>
    </row>
    <row r="8">
      <c r="A8" s="11" t="inlineStr">
        <is>
          <t>Less: 90+ day balances</t>
        </is>
      </c>
      <c r="B8" s="31">
        <f>AR_Aging!J20</f>
        <v/>
      </c>
      <c r="C8" s="11" t="n"/>
      <c r="D8" s="11" t="n"/>
      <c r="E8" s="11" t="inlineStr">
        <is>
          <t>Ineligible aging bucket</t>
        </is>
      </c>
    </row>
    <row r="9">
      <c r="A9" s="11" t="inlineStr">
        <is>
          <t>Less: dilution / cross-age reserve</t>
        </is>
      </c>
      <c r="B9" s="38" t="n">
        <v>220</v>
      </c>
      <c r="C9" s="11" t="n"/>
      <c r="D9" s="11" t="n"/>
      <c r="E9" s="11" t="inlineStr">
        <is>
          <t>Underwriting reserve input</t>
        </is>
      </c>
    </row>
    <row r="10">
      <c r="A10" s="16" t="inlineStr">
        <is>
          <t>Net Eligible A/R</t>
        </is>
      </c>
      <c r="B10" s="21">
        <f>B7-B8-B9</f>
        <v/>
      </c>
      <c r="C10" s="20" t="n"/>
      <c r="D10" s="20" t="n"/>
      <c r="E10" s="20" t="n"/>
    </row>
    <row r="11">
      <c r="A11" s="11" t="inlineStr">
        <is>
          <t>A/R Advance Rate</t>
        </is>
      </c>
      <c r="B11" s="11" t="n"/>
      <c r="C11" s="41" t="n">
        <v>0.85</v>
      </c>
      <c r="D11" s="31">
        <f>B10*C11</f>
        <v/>
      </c>
      <c r="E11" s="11" t="inlineStr">
        <is>
          <t>Advance policy</t>
        </is>
      </c>
    </row>
    <row r="13">
      <c r="A13" s="10" t="inlineStr">
        <is>
          <t>Inventory Base</t>
        </is>
      </c>
      <c r="B13" s="29" t="n"/>
      <c r="C13" s="29" t="n"/>
      <c r="D13" s="29" t="n"/>
      <c r="E13" s="30" t="n"/>
    </row>
    <row r="14">
      <c r="A14" s="11" t="inlineStr">
        <is>
          <t>Inventory at Cost (current)</t>
        </is>
      </c>
      <c r="B14" s="31">
        <f>Inventory_Turnover!D11</f>
        <v/>
      </c>
      <c r="C14" s="11" t="n"/>
      <c r="D14" s="11" t="n"/>
      <c r="E14" s="11" t="inlineStr">
        <is>
          <t>Inventory report total</t>
        </is>
      </c>
    </row>
    <row r="15">
      <c r="A15" s="11" t="inlineStr">
        <is>
          <t>Less: ineligible inventory reserve</t>
        </is>
      </c>
      <c r="B15" s="31">
        <f>B14*C15</f>
        <v/>
      </c>
      <c r="C15" s="41" t="n">
        <v>0.1</v>
      </c>
      <c r="D15" s="11" t="n"/>
      <c r="E15" s="11" t="inlineStr">
        <is>
          <t>Obsolescence / slow mover reserve</t>
        </is>
      </c>
    </row>
    <row r="16">
      <c r="A16" s="16" t="inlineStr">
        <is>
          <t>Net Eligible Inventory</t>
        </is>
      </c>
      <c r="B16" s="21">
        <f>B14-B15</f>
        <v/>
      </c>
      <c r="C16" s="20" t="n"/>
      <c r="D16" s="20" t="n"/>
      <c r="E16" s="20" t="n"/>
    </row>
    <row r="17">
      <c r="A17" s="11" t="inlineStr">
        <is>
          <t>Inventory Advance Rate</t>
        </is>
      </c>
      <c r="B17" s="11" t="n"/>
      <c r="C17" s="41" t="n">
        <v>0.5</v>
      </c>
      <c r="D17" s="31">
        <f>B16*C17</f>
        <v/>
      </c>
      <c r="E17" s="11" t="inlineStr">
        <is>
          <t>Advance policy</t>
        </is>
      </c>
    </row>
    <row r="19">
      <c r="A19" s="10" t="inlineStr">
        <is>
          <t>Availability Summary</t>
        </is>
      </c>
      <c r="B19" s="29" t="n"/>
      <c r="C19" s="29" t="n"/>
      <c r="D19" s="29" t="n"/>
      <c r="E19" s="30" t="n"/>
    </row>
    <row r="20">
      <c r="A20" s="16" t="inlineStr">
        <is>
          <t>Gross Borrowing Base</t>
        </is>
      </c>
      <c r="B20" s="20" t="n"/>
      <c r="C20" s="20" t="n"/>
      <c r="D20" s="21">
        <f>D11+D17</f>
        <v/>
      </c>
      <c r="E20" s="20" t="n"/>
    </row>
    <row r="21">
      <c r="A21" s="11" t="inlineStr">
        <is>
          <t>Less: reserves / availability block</t>
        </is>
      </c>
      <c r="B21" s="38" t="n">
        <v>350</v>
      </c>
      <c r="C21" s="11" t="n"/>
      <c r="D21" s="11" t="n"/>
      <c r="E21" s="11" t="n"/>
    </row>
    <row r="22">
      <c r="A22" s="16" t="inlineStr">
        <is>
          <t>Net Borrowing Availability</t>
        </is>
      </c>
      <c r="B22" s="20" t="n"/>
      <c r="C22" s="20" t="n"/>
      <c r="D22" s="21">
        <f>D20-B21</f>
        <v/>
      </c>
      <c r="E22" s="20" t="n"/>
    </row>
    <row r="23">
      <c r="A23" s="11" t="inlineStr">
        <is>
          <t>Less: Revolver Outstanding</t>
        </is>
      </c>
      <c r="B23" s="31">
        <f>Debt_Schedule!E7</f>
        <v/>
      </c>
      <c r="C23" s="11" t="n"/>
      <c r="D23" s="11" t="n"/>
      <c r="E23" s="11" t="inlineStr">
        <is>
          <t>Debt schedule tie</t>
        </is>
      </c>
    </row>
    <row r="24">
      <c r="A24" s="16" t="inlineStr">
        <is>
          <t>Excess Availability</t>
        </is>
      </c>
      <c r="B24" s="20" t="n"/>
      <c r="C24" s="20" t="n"/>
      <c r="D24" s="21">
        <f>D22-B23</f>
        <v/>
      </c>
      <c r="E24" s="20" t="inlineStr">
        <is>
          <t>Positive indicates incremental headroom</t>
        </is>
      </c>
    </row>
  </sheetData>
  <autoFilter ref="A4:E27"/>
  <mergeCells count="5">
    <mergeCell ref="A2:E2"/>
    <mergeCell ref="A19:E19"/>
    <mergeCell ref="A1:E1"/>
    <mergeCell ref="A13:E13"/>
    <mergeCell ref="A6:E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0"/>
  <sheetViews>
    <sheetView showGridLines="0"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8" customWidth="1" min="11" max="11"/>
  </cols>
  <sheetData>
    <row r="1">
      <c r="A1" s="1" t="inlineStr">
        <is>
          <t>Financial Projections (24 Months)</t>
        </is>
      </c>
    </row>
    <row r="2">
      <c r="A2" s="2" t="inlineStr">
        <is>
          <t>Monthly forecast with assumptions (USD $000)</t>
        </is>
      </c>
    </row>
    <row r="4">
      <c r="A4" s="10" t="inlineStr">
        <is>
          <t>Assumptions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30" t="n"/>
    </row>
    <row r="5">
      <c r="A5" s="3" t="inlineStr">
        <is>
          <t>Driver</t>
        </is>
      </c>
      <c r="B5" s="3" t="inlineStr">
        <is>
          <t>Value</t>
        </is>
      </c>
      <c r="C5" s="3" t="inlineStr">
        <is>
          <t>Unit</t>
        </is>
      </c>
      <c r="D5" s="3" t="inlineStr">
        <is>
          <t>Description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>
        <is>
          <t>Source URL</t>
        </is>
      </c>
    </row>
    <row r="6">
      <c r="A6" s="11" t="inlineStr">
        <is>
          <t>Linehaul Monthly Growth</t>
        </is>
      </c>
      <c r="B6" s="36" t="n">
        <v>0.008</v>
      </c>
      <c r="C6" s="11" t="inlineStr">
        <is>
          <t>%</t>
        </is>
      </c>
      <c r="D6" s="11" t="inlineStr">
        <is>
          <t>Applied MoM</t>
        </is>
      </c>
      <c r="E6" s="11" t="n"/>
      <c r="F6" s="11" t="n"/>
      <c r="G6" s="11" t="n"/>
      <c r="H6" s="11" t="n"/>
      <c r="I6" s="11" t="n"/>
      <c r="J6" s="11" t="n"/>
      <c r="K6" s="11" t="inlineStr">
        <is>
          <t>https://www.apexlogistics.example/internal/forecast-assumptions</t>
        </is>
      </c>
    </row>
    <row r="7">
      <c r="A7" s="11" t="inlineStr">
        <is>
          <t>Warehousing Monthly Growth</t>
        </is>
      </c>
      <c r="B7" s="36" t="n">
        <v>0.006</v>
      </c>
      <c r="C7" s="11" t="inlineStr">
        <is>
          <t>%</t>
        </is>
      </c>
      <c r="D7" s="11" t="inlineStr">
        <is>
          <t>Applied MoM</t>
        </is>
      </c>
      <c r="E7" s="11" t="n"/>
      <c r="F7" s="11" t="n"/>
      <c r="G7" s="11" t="n"/>
      <c r="H7" s="11" t="n"/>
      <c r="I7" s="11" t="n"/>
      <c r="J7" s="11" t="n"/>
      <c r="K7" s="11" t="inlineStr">
        <is>
          <t>https://www.apexlogistics.example/internal/forecast-assumptions</t>
        </is>
      </c>
    </row>
    <row r="8">
      <c r="A8" s="11" t="inlineStr">
        <is>
          <t>Customs Monthly Growth</t>
        </is>
      </c>
      <c r="B8" s="36" t="n">
        <v>0.007</v>
      </c>
      <c r="C8" s="11" t="inlineStr">
        <is>
          <t>%</t>
        </is>
      </c>
      <c r="D8" s="11" t="inlineStr">
        <is>
          <t>Applied MoM</t>
        </is>
      </c>
      <c r="E8" s="11" t="n"/>
      <c r="F8" s="11" t="n"/>
      <c r="G8" s="11" t="n"/>
      <c r="H8" s="11" t="n"/>
      <c r="I8" s="11" t="n"/>
      <c r="J8" s="11" t="n"/>
      <c r="K8" s="11" t="inlineStr">
        <is>
          <t>https://www.apexlogistics.example/internal/forecast-assumptions</t>
        </is>
      </c>
    </row>
    <row r="9">
      <c r="A9" s="11" t="inlineStr">
        <is>
          <t>Blended Gross Margin</t>
        </is>
      </c>
      <c r="B9" s="36" t="n">
        <v>0.238</v>
      </c>
      <c r="C9" s="11" t="inlineStr">
        <is>
          <t>%</t>
        </is>
      </c>
      <c r="D9" s="11" t="inlineStr">
        <is>
          <t>Gross profit / revenue</t>
        </is>
      </c>
      <c r="E9" s="11" t="n"/>
      <c r="F9" s="11" t="n"/>
      <c r="G9" s="11" t="n"/>
      <c r="H9" s="11" t="n"/>
      <c r="I9" s="11" t="n"/>
      <c r="J9" s="11" t="n"/>
      <c r="K9" s="11" t="inlineStr">
        <is>
          <t>https://www.apexlogistics.example/internal/forecast-assumptions</t>
        </is>
      </c>
    </row>
    <row r="10">
      <c r="A10" s="11" t="inlineStr">
        <is>
          <t>OpEx Ratio</t>
        </is>
      </c>
      <c r="B10" s="36" t="n">
        <v>0.145</v>
      </c>
      <c r="C10" s="11" t="inlineStr">
        <is>
          <t>%</t>
        </is>
      </c>
      <c r="D10" s="11" t="inlineStr">
        <is>
          <t>Operating expense ratio</t>
        </is>
      </c>
      <c r="E10" s="11" t="n"/>
      <c r="F10" s="11" t="n"/>
      <c r="G10" s="11" t="n"/>
      <c r="H10" s="11" t="n"/>
      <c r="I10" s="11" t="n"/>
      <c r="J10" s="11" t="n"/>
      <c r="K10" s="11" t="inlineStr">
        <is>
          <t>https://www.apexlogistics.example/internal/forecast-assumptions</t>
        </is>
      </c>
    </row>
    <row r="11">
      <c r="A11" s="11" t="inlineStr">
        <is>
          <t>D&amp;A Ratio</t>
        </is>
      </c>
      <c r="B11" s="36" t="n">
        <v>0.023</v>
      </c>
      <c r="C11" s="11" t="inlineStr">
        <is>
          <t>%</t>
        </is>
      </c>
      <c r="D11" s="11" t="inlineStr">
        <is>
          <t>Depreciation as % revenue</t>
        </is>
      </c>
      <c r="E11" s="11" t="n"/>
      <c r="F11" s="11" t="n"/>
      <c r="G11" s="11" t="n"/>
      <c r="H11" s="11" t="n"/>
      <c r="I11" s="11" t="n"/>
      <c r="J11" s="11" t="n"/>
      <c r="K11" s="11" t="inlineStr">
        <is>
          <t>https://www.apexlogistics.example/internal/forecast-assumptions</t>
        </is>
      </c>
    </row>
    <row r="12">
      <c r="A12" s="11" t="inlineStr">
        <is>
          <t>Interest Ratio</t>
        </is>
      </c>
      <c r="B12" s="36" t="n">
        <v>0.012</v>
      </c>
      <c r="C12" s="11" t="inlineStr">
        <is>
          <t>%</t>
        </is>
      </c>
      <c r="D12" s="11" t="inlineStr">
        <is>
          <t>Interest as % revenue</t>
        </is>
      </c>
      <c r="E12" s="11" t="n"/>
      <c r="F12" s="11" t="n"/>
      <c r="G12" s="11" t="n"/>
      <c r="H12" s="11" t="n"/>
      <c r="I12" s="11" t="n"/>
      <c r="J12" s="11" t="n"/>
      <c r="K12" s="11" t="inlineStr">
        <is>
          <t>https://www.apexlogistics.example/internal/forecast-assumptions</t>
        </is>
      </c>
    </row>
    <row r="13">
      <c r="A13" s="11" t="inlineStr">
        <is>
          <t>Tax Rate</t>
        </is>
      </c>
      <c r="B13" s="36" t="n">
        <v>0.27</v>
      </c>
      <c r="C13" s="11" t="inlineStr">
        <is>
          <t>%</t>
        </is>
      </c>
      <c r="D13" s="11" t="inlineStr">
        <is>
          <t>Effective tax rate</t>
        </is>
      </c>
      <c r="E13" s="11" t="n"/>
      <c r="F13" s="11" t="n"/>
      <c r="G13" s="11" t="n"/>
      <c r="H13" s="11" t="n"/>
      <c r="I13" s="11" t="n"/>
      <c r="J13" s="11" t="n"/>
      <c r="K13" s="11" t="inlineStr">
        <is>
          <t>https://www.apexlogistics.example/internal/forecast-assumptions</t>
        </is>
      </c>
    </row>
    <row r="14">
      <c r="A14" s="11" t="inlineStr">
        <is>
          <t>Capex Ratio</t>
        </is>
      </c>
      <c r="B14" s="36" t="n">
        <v>0.026</v>
      </c>
      <c r="C14" s="11" t="inlineStr">
        <is>
          <t>%</t>
        </is>
      </c>
      <c r="D14" s="11" t="inlineStr">
        <is>
          <t>Capex as % revenue</t>
        </is>
      </c>
      <c r="E14" s="11" t="n"/>
      <c r="F14" s="11" t="n"/>
      <c r="G14" s="11" t="n"/>
      <c r="H14" s="11" t="n"/>
      <c r="I14" s="11" t="n"/>
      <c r="J14" s="11" t="n"/>
      <c r="K14" s="11" t="inlineStr">
        <is>
          <t>https://www.apexlogistics.example/internal/forecast-assumptions</t>
        </is>
      </c>
    </row>
    <row r="15">
      <c r="A15" s="11" t="inlineStr">
        <is>
          <t>NWC Ratio</t>
        </is>
      </c>
      <c r="B15" s="36" t="n">
        <v>0.118</v>
      </c>
      <c r="C15" s="11" t="inlineStr">
        <is>
          <t>%</t>
        </is>
      </c>
      <c r="D15" s="11" t="inlineStr">
        <is>
          <t>Net working capital as % revenue</t>
        </is>
      </c>
      <c r="E15" s="11" t="n"/>
      <c r="F15" s="11" t="n"/>
      <c r="G15" s="11" t="n"/>
      <c r="H15" s="11" t="n"/>
      <c r="I15" s="11" t="n"/>
      <c r="J15" s="11" t="n"/>
      <c r="K15" s="11" t="inlineStr">
        <is>
          <t>https://www.apexlogistics.example/internal/forecast-assumptions</t>
        </is>
      </c>
    </row>
    <row r="17">
      <c r="A17" s="10" t="inlineStr">
        <is>
          <t>Monthly Projection</t>
        </is>
      </c>
      <c r="B17" s="29" t="n"/>
      <c r="C17" s="29" t="n"/>
      <c r="D17" s="29" t="n"/>
      <c r="E17" s="29" t="n"/>
      <c r="F17" s="29" t="n"/>
      <c r="G17" s="29" t="n"/>
      <c r="H17" s="29" t="n"/>
      <c r="I17" s="29" t="n"/>
      <c r="J17" s="29" t="n"/>
      <c r="K17" s="30" t="n"/>
    </row>
    <row r="18">
      <c r="A18" s="3" t="inlineStr">
        <is>
          <t>Month</t>
        </is>
      </c>
      <c r="B18" s="3" t="inlineStr">
        <is>
          <t>Linehaul Rev</t>
        </is>
      </c>
      <c r="C18" s="3" t="inlineStr">
        <is>
          <t>Warehousing Rev</t>
        </is>
      </c>
      <c r="D18" s="3" t="inlineStr">
        <is>
          <t>Customs Rev</t>
        </is>
      </c>
      <c r="E18" s="3" t="inlineStr">
        <is>
          <t>Total Revenue</t>
        </is>
      </c>
      <c r="F18" s="3" t="inlineStr">
        <is>
          <t>Gross Profit</t>
        </is>
      </c>
      <c r="G18" s="3" t="inlineStr">
        <is>
          <t>EBITDA</t>
        </is>
      </c>
      <c r="H18" s="3" t="inlineStr">
        <is>
          <t>Net Income</t>
        </is>
      </c>
      <c r="I18" s="3" t="inlineStr">
        <is>
          <t>Capex</t>
        </is>
      </c>
      <c r="J18" s="3" t="inlineStr">
        <is>
          <t>Ending Cash</t>
        </is>
      </c>
      <c r="K18" s="3" t="inlineStr">
        <is>
          <t>Source URL</t>
        </is>
      </c>
    </row>
    <row r="19">
      <c r="A19" s="42" t="n">
        <v>46054</v>
      </c>
      <c r="B19" s="31">
        <f>ROUND('P&amp;L'!E7*(1+$B$6),0)</f>
        <v/>
      </c>
      <c r="C19" s="31">
        <f>ROUND('P&amp;L'!E8*(1+$B$7),0)</f>
        <v/>
      </c>
      <c r="D19" s="31">
        <f>ROUND('P&amp;L'!E9*(1+$B$8),0)</f>
        <v/>
      </c>
      <c r="E19" s="31">
        <f>SUM(B19:D19)</f>
        <v/>
      </c>
      <c r="F19" s="31">
        <f>E19*$B$9</f>
        <v/>
      </c>
      <c r="G19" s="31">
        <f>F19-(E19*$B$10)</f>
        <v/>
      </c>
      <c r="H19" s="31">
        <f>MAX((G19-E19*$B$11-E19*$B$12)*(1-$B$13),0)</f>
        <v/>
      </c>
      <c r="I19" s="31">
        <f>E19*$B$14</f>
        <v/>
      </c>
      <c r="J19" s="31">
        <f>Cash_Flow!E29+H19-I19-(E19*$B$15-'P&amp;L'!E10*$B$15)</f>
        <v/>
      </c>
      <c r="K19" s="11" t="inlineStr">
        <is>
          <t>https://www.apexlogistics.example/internal/forecast-model</t>
        </is>
      </c>
    </row>
    <row r="20">
      <c r="A20" s="42" t="n">
        <v>46082</v>
      </c>
      <c r="B20" s="31">
        <f>ROUND(B19*(1+$B$6),0)</f>
        <v/>
      </c>
      <c r="C20" s="31">
        <f>ROUND(C19*(1+$B$7),0)</f>
        <v/>
      </c>
      <c r="D20" s="31">
        <f>ROUND(D19*(1+$B$8),0)</f>
        <v/>
      </c>
      <c r="E20" s="31">
        <f>SUM(B20:D20)</f>
        <v/>
      </c>
      <c r="F20" s="31">
        <f>E20*$B$9</f>
        <v/>
      </c>
      <c r="G20" s="31">
        <f>F20-(E20*$B$10)</f>
        <v/>
      </c>
      <c r="H20" s="31">
        <f>MAX((G20-E20*$B$11-E20*$B$12)*(1-$B$13),0)</f>
        <v/>
      </c>
      <c r="I20" s="31">
        <f>E20*$B$14</f>
        <v/>
      </c>
      <c r="J20" s="31">
        <f>J19+H20-I20-(E20*$B$15-E19*$B$15)</f>
        <v/>
      </c>
      <c r="K20" s="11" t="inlineStr">
        <is>
          <t>https://www.apexlogistics.example/internal/forecast-model</t>
        </is>
      </c>
    </row>
    <row r="21">
      <c r="A21" s="42" t="n">
        <v>46113</v>
      </c>
      <c r="B21" s="31">
        <f>ROUND(B20*(1+$B$6),0)</f>
        <v/>
      </c>
      <c r="C21" s="31">
        <f>ROUND(C20*(1+$B$7),0)</f>
        <v/>
      </c>
      <c r="D21" s="31">
        <f>ROUND(D20*(1+$B$8),0)</f>
        <v/>
      </c>
      <c r="E21" s="31">
        <f>SUM(B21:D21)</f>
        <v/>
      </c>
      <c r="F21" s="31">
        <f>E21*$B$9</f>
        <v/>
      </c>
      <c r="G21" s="31">
        <f>F21-(E21*$B$10)</f>
        <v/>
      </c>
      <c r="H21" s="31">
        <f>MAX((G21-E21*$B$11-E21*$B$12)*(1-$B$13),0)</f>
        <v/>
      </c>
      <c r="I21" s="31">
        <f>E21*$B$14</f>
        <v/>
      </c>
      <c r="J21" s="31">
        <f>J20+H21-I21-(E21*$B$15-E20*$B$15)</f>
        <v/>
      </c>
      <c r="K21" s="11" t="inlineStr">
        <is>
          <t>https://www.apexlogistics.example/internal/forecast-model</t>
        </is>
      </c>
    </row>
    <row r="22">
      <c r="A22" s="42" t="n">
        <v>46143</v>
      </c>
      <c r="B22" s="31">
        <f>ROUND(B21*(1+$B$6),0)</f>
        <v/>
      </c>
      <c r="C22" s="31">
        <f>ROUND(C21*(1+$B$7),0)</f>
        <v/>
      </c>
      <c r="D22" s="31">
        <f>ROUND(D21*(1+$B$8),0)</f>
        <v/>
      </c>
      <c r="E22" s="31">
        <f>SUM(B22:D22)</f>
        <v/>
      </c>
      <c r="F22" s="31">
        <f>E22*$B$9</f>
        <v/>
      </c>
      <c r="G22" s="31">
        <f>F22-(E22*$B$10)</f>
        <v/>
      </c>
      <c r="H22" s="31">
        <f>MAX((G22-E22*$B$11-E22*$B$12)*(1-$B$13),0)</f>
        <v/>
      </c>
      <c r="I22" s="31">
        <f>E22*$B$14</f>
        <v/>
      </c>
      <c r="J22" s="31">
        <f>J21+H22-I22-(E22*$B$15-E21*$B$15)</f>
        <v/>
      </c>
      <c r="K22" s="11" t="inlineStr">
        <is>
          <t>https://www.apexlogistics.example/internal/forecast-model</t>
        </is>
      </c>
    </row>
    <row r="23">
      <c r="A23" s="42" t="n">
        <v>46174</v>
      </c>
      <c r="B23" s="31">
        <f>ROUND(B22*(1+$B$6),0)</f>
        <v/>
      </c>
      <c r="C23" s="31">
        <f>ROUND(C22*(1+$B$7),0)</f>
        <v/>
      </c>
      <c r="D23" s="31">
        <f>ROUND(D22*(1+$B$8),0)</f>
        <v/>
      </c>
      <c r="E23" s="31">
        <f>SUM(B23:D23)</f>
        <v/>
      </c>
      <c r="F23" s="31">
        <f>E23*$B$9</f>
        <v/>
      </c>
      <c r="G23" s="31">
        <f>F23-(E23*$B$10)</f>
        <v/>
      </c>
      <c r="H23" s="31">
        <f>MAX((G23-E23*$B$11-E23*$B$12)*(1-$B$13),0)</f>
        <v/>
      </c>
      <c r="I23" s="31">
        <f>E23*$B$14</f>
        <v/>
      </c>
      <c r="J23" s="31">
        <f>J22+H23-I23-(E23*$B$15-E22*$B$15)</f>
        <v/>
      </c>
      <c r="K23" s="11" t="inlineStr">
        <is>
          <t>https://www.apexlogistics.example/internal/forecast-model</t>
        </is>
      </c>
    </row>
    <row r="24">
      <c r="A24" s="42" t="n">
        <v>46204</v>
      </c>
      <c r="B24" s="31">
        <f>ROUND(B23*(1+$B$6),0)</f>
        <v/>
      </c>
      <c r="C24" s="31">
        <f>ROUND(C23*(1+$B$7),0)</f>
        <v/>
      </c>
      <c r="D24" s="31">
        <f>ROUND(D23*(1+$B$8),0)</f>
        <v/>
      </c>
      <c r="E24" s="31">
        <f>SUM(B24:D24)</f>
        <v/>
      </c>
      <c r="F24" s="31">
        <f>E24*$B$9</f>
        <v/>
      </c>
      <c r="G24" s="31">
        <f>F24-(E24*$B$10)</f>
        <v/>
      </c>
      <c r="H24" s="31">
        <f>MAX((G24-E24*$B$11-E24*$B$12)*(1-$B$13),0)</f>
        <v/>
      </c>
      <c r="I24" s="31">
        <f>E24*$B$14</f>
        <v/>
      </c>
      <c r="J24" s="31">
        <f>J23+H24-I24-(E24*$B$15-E23*$B$15)</f>
        <v/>
      </c>
      <c r="K24" s="11" t="inlineStr">
        <is>
          <t>https://www.apexlogistics.example/internal/forecast-model</t>
        </is>
      </c>
    </row>
    <row r="25">
      <c r="A25" s="42" t="n">
        <v>46235</v>
      </c>
      <c r="B25" s="31">
        <f>ROUND(B24*(1+$B$6),0)</f>
        <v/>
      </c>
      <c r="C25" s="31">
        <f>ROUND(C24*(1+$B$7),0)</f>
        <v/>
      </c>
      <c r="D25" s="31">
        <f>ROUND(D24*(1+$B$8),0)</f>
        <v/>
      </c>
      <c r="E25" s="31">
        <f>SUM(B25:D25)</f>
        <v/>
      </c>
      <c r="F25" s="31">
        <f>E25*$B$9</f>
        <v/>
      </c>
      <c r="G25" s="31">
        <f>F25-(E25*$B$10)</f>
        <v/>
      </c>
      <c r="H25" s="31">
        <f>MAX((G25-E25*$B$11-E25*$B$12)*(1-$B$13),0)</f>
        <v/>
      </c>
      <c r="I25" s="31">
        <f>E25*$B$14</f>
        <v/>
      </c>
      <c r="J25" s="31">
        <f>J24+H25-I25-(E25*$B$15-E24*$B$15)</f>
        <v/>
      </c>
      <c r="K25" s="11" t="inlineStr">
        <is>
          <t>https://www.apexlogistics.example/internal/forecast-model</t>
        </is>
      </c>
    </row>
    <row r="26">
      <c r="A26" s="42" t="n">
        <v>46266</v>
      </c>
      <c r="B26" s="31">
        <f>ROUND(B25*(1+$B$6),0)</f>
        <v/>
      </c>
      <c r="C26" s="31">
        <f>ROUND(C25*(1+$B$7),0)</f>
        <v/>
      </c>
      <c r="D26" s="31">
        <f>ROUND(D25*(1+$B$8),0)</f>
        <v/>
      </c>
      <c r="E26" s="31">
        <f>SUM(B26:D26)</f>
        <v/>
      </c>
      <c r="F26" s="31">
        <f>E26*$B$9</f>
        <v/>
      </c>
      <c r="G26" s="31">
        <f>F26-(E26*$B$10)</f>
        <v/>
      </c>
      <c r="H26" s="31">
        <f>MAX((G26-E26*$B$11-E26*$B$12)*(1-$B$13),0)</f>
        <v/>
      </c>
      <c r="I26" s="31">
        <f>E26*$B$14</f>
        <v/>
      </c>
      <c r="J26" s="31">
        <f>J25+H26-I26-(E26*$B$15-E25*$B$15)</f>
        <v/>
      </c>
      <c r="K26" s="11" t="inlineStr">
        <is>
          <t>https://www.apexlogistics.example/internal/forecast-model</t>
        </is>
      </c>
    </row>
    <row r="27">
      <c r="A27" s="42" t="n">
        <v>46296</v>
      </c>
      <c r="B27" s="31">
        <f>ROUND(B26*(1+$B$6),0)</f>
        <v/>
      </c>
      <c r="C27" s="31">
        <f>ROUND(C26*(1+$B$7),0)</f>
        <v/>
      </c>
      <c r="D27" s="31">
        <f>ROUND(D26*(1+$B$8),0)</f>
        <v/>
      </c>
      <c r="E27" s="31">
        <f>SUM(B27:D27)</f>
        <v/>
      </c>
      <c r="F27" s="31">
        <f>E27*$B$9</f>
        <v/>
      </c>
      <c r="G27" s="31">
        <f>F27-(E27*$B$10)</f>
        <v/>
      </c>
      <c r="H27" s="31">
        <f>MAX((G27-E27*$B$11-E27*$B$12)*(1-$B$13),0)</f>
        <v/>
      </c>
      <c r="I27" s="31">
        <f>E27*$B$14</f>
        <v/>
      </c>
      <c r="J27" s="31">
        <f>J26+H27-I27-(E27*$B$15-E26*$B$15)</f>
        <v/>
      </c>
      <c r="K27" s="11" t="inlineStr">
        <is>
          <t>https://www.apexlogistics.example/internal/forecast-model</t>
        </is>
      </c>
    </row>
    <row r="28">
      <c r="A28" s="42" t="n">
        <v>46327</v>
      </c>
      <c r="B28" s="31">
        <f>ROUND(B27*(1+$B$6),0)</f>
        <v/>
      </c>
      <c r="C28" s="31">
        <f>ROUND(C27*(1+$B$7),0)</f>
        <v/>
      </c>
      <c r="D28" s="31">
        <f>ROUND(D27*(1+$B$8),0)</f>
        <v/>
      </c>
      <c r="E28" s="31">
        <f>SUM(B28:D28)</f>
        <v/>
      </c>
      <c r="F28" s="31">
        <f>E28*$B$9</f>
        <v/>
      </c>
      <c r="G28" s="31">
        <f>F28-(E28*$B$10)</f>
        <v/>
      </c>
      <c r="H28" s="31">
        <f>MAX((G28-E28*$B$11-E28*$B$12)*(1-$B$13),0)</f>
        <v/>
      </c>
      <c r="I28" s="31">
        <f>E28*$B$14</f>
        <v/>
      </c>
      <c r="J28" s="31">
        <f>J27+H28-I28-(E28*$B$15-E27*$B$15)</f>
        <v/>
      </c>
      <c r="K28" s="11" t="inlineStr">
        <is>
          <t>https://www.apexlogistics.example/internal/forecast-model</t>
        </is>
      </c>
    </row>
    <row r="29">
      <c r="A29" s="42" t="n">
        <v>46357</v>
      </c>
      <c r="B29" s="31">
        <f>ROUND(B28*(1+$B$6),0)</f>
        <v/>
      </c>
      <c r="C29" s="31">
        <f>ROUND(C28*(1+$B$7),0)</f>
        <v/>
      </c>
      <c r="D29" s="31">
        <f>ROUND(D28*(1+$B$8),0)</f>
        <v/>
      </c>
      <c r="E29" s="31">
        <f>SUM(B29:D29)</f>
        <v/>
      </c>
      <c r="F29" s="31">
        <f>E29*$B$9</f>
        <v/>
      </c>
      <c r="G29" s="31">
        <f>F29-(E29*$B$10)</f>
        <v/>
      </c>
      <c r="H29" s="31">
        <f>MAX((G29-E29*$B$11-E29*$B$12)*(1-$B$13),0)</f>
        <v/>
      </c>
      <c r="I29" s="31">
        <f>E29*$B$14</f>
        <v/>
      </c>
      <c r="J29" s="31">
        <f>J28+H29-I29-(E29*$B$15-E28*$B$15)</f>
        <v/>
      </c>
      <c r="K29" s="11" t="inlineStr">
        <is>
          <t>https://www.apexlogistics.example/internal/forecast-model</t>
        </is>
      </c>
    </row>
    <row r="30">
      <c r="A30" s="42" t="n">
        <v>46388</v>
      </c>
      <c r="B30" s="31">
        <f>ROUND(B29*(1+$B$6),0)</f>
        <v/>
      </c>
      <c r="C30" s="31">
        <f>ROUND(C29*(1+$B$7),0)</f>
        <v/>
      </c>
      <c r="D30" s="31">
        <f>ROUND(D29*(1+$B$8),0)</f>
        <v/>
      </c>
      <c r="E30" s="31">
        <f>SUM(B30:D30)</f>
        <v/>
      </c>
      <c r="F30" s="31">
        <f>E30*$B$9</f>
        <v/>
      </c>
      <c r="G30" s="31">
        <f>F30-(E30*$B$10)</f>
        <v/>
      </c>
      <c r="H30" s="31">
        <f>MAX((G30-E30*$B$11-E30*$B$12)*(1-$B$13),0)</f>
        <v/>
      </c>
      <c r="I30" s="31">
        <f>E30*$B$14</f>
        <v/>
      </c>
      <c r="J30" s="31">
        <f>J29+H30-I30-(E30*$B$15-E29*$B$15)</f>
        <v/>
      </c>
      <c r="K30" s="11" t="inlineStr">
        <is>
          <t>https://www.apexlogistics.example/internal/forecast-model</t>
        </is>
      </c>
    </row>
    <row r="31">
      <c r="A31" s="42" t="n">
        <v>46419</v>
      </c>
      <c r="B31" s="31">
        <f>ROUND(B30*(1+$B$6),0)</f>
        <v/>
      </c>
      <c r="C31" s="31">
        <f>ROUND(C30*(1+$B$7),0)</f>
        <v/>
      </c>
      <c r="D31" s="31">
        <f>ROUND(D30*(1+$B$8),0)</f>
        <v/>
      </c>
      <c r="E31" s="31">
        <f>SUM(B31:D31)</f>
        <v/>
      </c>
      <c r="F31" s="31">
        <f>E31*$B$9</f>
        <v/>
      </c>
      <c r="G31" s="31">
        <f>F31-(E31*$B$10)</f>
        <v/>
      </c>
      <c r="H31" s="31">
        <f>MAX((G31-E31*$B$11-E31*$B$12)*(1-$B$13),0)</f>
        <v/>
      </c>
      <c r="I31" s="31">
        <f>E31*$B$14</f>
        <v/>
      </c>
      <c r="J31" s="31">
        <f>J30+H31-I31-(E31*$B$15-E30*$B$15)</f>
        <v/>
      </c>
      <c r="K31" s="11" t="inlineStr">
        <is>
          <t>https://www.apexlogistics.example/internal/forecast-model</t>
        </is>
      </c>
    </row>
    <row r="32">
      <c r="A32" s="42" t="n">
        <v>46447</v>
      </c>
      <c r="B32" s="31">
        <f>ROUND(B31*(1+$B$6),0)</f>
        <v/>
      </c>
      <c r="C32" s="31">
        <f>ROUND(C31*(1+$B$7),0)</f>
        <v/>
      </c>
      <c r="D32" s="31">
        <f>ROUND(D31*(1+$B$8),0)</f>
        <v/>
      </c>
      <c r="E32" s="31">
        <f>SUM(B32:D32)</f>
        <v/>
      </c>
      <c r="F32" s="31">
        <f>E32*$B$9</f>
        <v/>
      </c>
      <c r="G32" s="31">
        <f>F32-(E32*$B$10)</f>
        <v/>
      </c>
      <c r="H32" s="31">
        <f>MAX((G32-E32*$B$11-E32*$B$12)*(1-$B$13),0)</f>
        <v/>
      </c>
      <c r="I32" s="31">
        <f>E32*$B$14</f>
        <v/>
      </c>
      <c r="J32" s="31">
        <f>J31+H32-I32-(E32*$B$15-E31*$B$15)</f>
        <v/>
      </c>
      <c r="K32" s="11" t="inlineStr">
        <is>
          <t>https://www.apexlogistics.example/internal/forecast-model</t>
        </is>
      </c>
    </row>
    <row r="33">
      <c r="A33" s="42" t="n">
        <v>46478</v>
      </c>
      <c r="B33" s="31">
        <f>ROUND(B32*(1+$B$6),0)</f>
        <v/>
      </c>
      <c r="C33" s="31">
        <f>ROUND(C32*(1+$B$7),0)</f>
        <v/>
      </c>
      <c r="D33" s="31">
        <f>ROUND(D32*(1+$B$8),0)</f>
        <v/>
      </c>
      <c r="E33" s="31">
        <f>SUM(B33:D33)</f>
        <v/>
      </c>
      <c r="F33" s="31">
        <f>E33*$B$9</f>
        <v/>
      </c>
      <c r="G33" s="31">
        <f>F33-(E33*$B$10)</f>
        <v/>
      </c>
      <c r="H33" s="31">
        <f>MAX((G33-E33*$B$11-E33*$B$12)*(1-$B$13),0)</f>
        <v/>
      </c>
      <c r="I33" s="31">
        <f>E33*$B$14</f>
        <v/>
      </c>
      <c r="J33" s="31">
        <f>J32+H33-I33-(E33*$B$15-E32*$B$15)</f>
        <v/>
      </c>
      <c r="K33" s="11" t="inlineStr">
        <is>
          <t>https://www.apexlogistics.example/internal/forecast-model</t>
        </is>
      </c>
    </row>
    <row r="34">
      <c r="A34" s="42" t="n">
        <v>46508</v>
      </c>
      <c r="B34" s="31">
        <f>ROUND(B33*(1+$B$6),0)</f>
        <v/>
      </c>
      <c r="C34" s="31">
        <f>ROUND(C33*(1+$B$7),0)</f>
        <v/>
      </c>
      <c r="D34" s="31">
        <f>ROUND(D33*(1+$B$8),0)</f>
        <v/>
      </c>
      <c r="E34" s="31">
        <f>SUM(B34:D34)</f>
        <v/>
      </c>
      <c r="F34" s="31">
        <f>E34*$B$9</f>
        <v/>
      </c>
      <c r="G34" s="31">
        <f>F34-(E34*$B$10)</f>
        <v/>
      </c>
      <c r="H34" s="31">
        <f>MAX((G34-E34*$B$11-E34*$B$12)*(1-$B$13),0)</f>
        <v/>
      </c>
      <c r="I34" s="31">
        <f>E34*$B$14</f>
        <v/>
      </c>
      <c r="J34" s="31">
        <f>J33+H34-I34-(E34*$B$15-E33*$B$15)</f>
        <v/>
      </c>
      <c r="K34" s="11" t="inlineStr">
        <is>
          <t>https://www.apexlogistics.example/internal/forecast-model</t>
        </is>
      </c>
    </row>
    <row r="35">
      <c r="A35" s="42" t="n">
        <v>46539</v>
      </c>
      <c r="B35" s="31">
        <f>ROUND(B34*(1+$B$6),0)</f>
        <v/>
      </c>
      <c r="C35" s="31">
        <f>ROUND(C34*(1+$B$7),0)</f>
        <v/>
      </c>
      <c r="D35" s="31">
        <f>ROUND(D34*(1+$B$8),0)</f>
        <v/>
      </c>
      <c r="E35" s="31">
        <f>SUM(B35:D35)</f>
        <v/>
      </c>
      <c r="F35" s="31">
        <f>E35*$B$9</f>
        <v/>
      </c>
      <c r="G35" s="31">
        <f>F35-(E35*$B$10)</f>
        <v/>
      </c>
      <c r="H35" s="31">
        <f>MAX((G35-E35*$B$11-E35*$B$12)*(1-$B$13),0)</f>
        <v/>
      </c>
      <c r="I35" s="31">
        <f>E35*$B$14</f>
        <v/>
      </c>
      <c r="J35" s="31">
        <f>J34+H35-I35-(E35*$B$15-E34*$B$15)</f>
        <v/>
      </c>
      <c r="K35" s="11" t="inlineStr">
        <is>
          <t>https://www.apexlogistics.example/internal/forecast-model</t>
        </is>
      </c>
    </row>
    <row r="36">
      <c r="A36" s="42" t="n">
        <v>46569</v>
      </c>
      <c r="B36" s="31">
        <f>ROUND(B35*(1+$B$6),0)</f>
        <v/>
      </c>
      <c r="C36" s="31">
        <f>ROUND(C35*(1+$B$7),0)</f>
        <v/>
      </c>
      <c r="D36" s="31">
        <f>ROUND(D35*(1+$B$8),0)</f>
        <v/>
      </c>
      <c r="E36" s="31">
        <f>SUM(B36:D36)</f>
        <v/>
      </c>
      <c r="F36" s="31">
        <f>E36*$B$9</f>
        <v/>
      </c>
      <c r="G36" s="31">
        <f>F36-(E36*$B$10)</f>
        <v/>
      </c>
      <c r="H36" s="31">
        <f>MAX((G36-E36*$B$11-E36*$B$12)*(1-$B$13),0)</f>
        <v/>
      </c>
      <c r="I36" s="31">
        <f>E36*$B$14</f>
        <v/>
      </c>
      <c r="J36" s="31">
        <f>J35+H36-I36-(E36*$B$15-E35*$B$15)</f>
        <v/>
      </c>
      <c r="K36" s="11" t="inlineStr">
        <is>
          <t>https://www.apexlogistics.example/internal/forecast-model</t>
        </is>
      </c>
    </row>
    <row r="37">
      <c r="A37" s="42" t="n">
        <v>46600</v>
      </c>
      <c r="B37" s="31">
        <f>ROUND(B36*(1+$B$6),0)</f>
        <v/>
      </c>
      <c r="C37" s="31">
        <f>ROUND(C36*(1+$B$7),0)</f>
        <v/>
      </c>
      <c r="D37" s="31">
        <f>ROUND(D36*(1+$B$8),0)</f>
        <v/>
      </c>
      <c r="E37" s="31">
        <f>SUM(B37:D37)</f>
        <v/>
      </c>
      <c r="F37" s="31">
        <f>E37*$B$9</f>
        <v/>
      </c>
      <c r="G37" s="31">
        <f>F37-(E37*$B$10)</f>
        <v/>
      </c>
      <c r="H37" s="31">
        <f>MAX((G37-E37*$B$11-E37*$B$12)*(1-$B$13),0)</f>
        <v/>
      </c>
      <c r="I37" s="31">
        <f>E37*$B$14</f>
        <v/>
      </c>
      <c r="J37" s="31">
        <f>J36+H37-I37-(E37*$B$15-E36*$B$15)</f>
        <v/>
      </c>
      <c r="K37" s="11" t="inlineStr">
        <is>
          <t>https://www.apexlogistics.example/internal/forecast-model</t>
        </is>
      </c>
    </row>
    <row r="38">
      <c r="A38" s="42" t="n">
        <v>46631</v>
      </c>
      <c r="B38" s="31">
        <f>ROUND(B37*(1+$B$6),0)</f>
        <v/>
      </c>
      <c r="C38" s="31">
        <f>ROUND(C37*(1+$B$7),0)</f>
        <v/>
      </c>
      <c r="D38" s="31">
        <f>ROUND(D37*(1+$B$8),0)</f>
        <v/>
      </c>
      <c r="E38" s="31">
        <f>SUM(B38:D38)</f>
        <v/>
      </c>
      <c r="F38" s="31">
        <f>E38*$B$9</f>
        <v/>
      </c>
      <c r="G38" s="31">
        <f>F38-(E38*$B$10)</f>
        <v/>
      </c>
      <c r="H38" s="31">
        <f>MAX((G38-E38*$B$11-E38*$B$12)*(1-$B$13),0)</f>
        <v/>
      </c>
      <c r="I38" s="31">
        <f>E38*$B$14</f>
        <v/>
      </c>
      <c r="J38" s="31">
        <f>J37+H38-I38-(E38*$B$15-E37*$B$15)</f>
        <v/>
      </c>
      <c r="K38" s="11" t="inlineStr">
        <is>
          <t>https://www.apexlogistics.example/internal/forecast-model</t>
        </is>
      </c>
    </row>
    <row r="39">
      <c r="A39" s="42" t="n">
        <v>46661</v>
      </c>
      <c r="B39" s="31">
        <f>ROUND(B38*(1+$B$6),0)</f>
        <v/>
      </c>
      <c r="C39" s="31">
        <f>ROUND(C38*(1+$B$7),0)</f>
        <v/>
      </c>
      <c r="D39" s="31">
        <f>ROUND(D38*(1+$B$8),0)</f>
        <v/>
      </c>
      <c r="E39" s="31">
        <f>SUM(B39:D39)</f>
        <v/>
      </c>
      <c r="F39" s="31">
        <f>E39*$B$9</f>
        <v/>
      </c>
      <c r="G39" s="31">
        <f>F39-(E39*$B$10)</f>
        <v/>
      </c>
      <c r="H39" s="31">
        <f>MAX((G39-E39*$B$11-E39*$B$12)*(1-$B$13),0)</f>
        <v/>
      </c>
      <c r="I39" s="31">
        <f>E39*$B$14</f>
        <v/>
      </c>
      <c r="J39" s="31">
        <f>J38+H39-I39-(E39*$B$15-E38*$B$15)</f>
        <v/>
      </c>
      <c r="K39" s="11" t="inlineStr">
        <is>
          <t>https://www.apexlogistics.example/internal/forecast-model</t>
        </is>
      </c>
    </row>
    <row r="40">
      <c r="A40" s="42" t="n">
        <v>46692</v>
      </c>
      <c r="B40" s="31">
        <f>ROUND(B39*(1+$B$6),0)</f>
        <v/>
      </c>
      <c r="C40" s="31">
        <f>ROUND(C39*(1+$B$7),0)</f>
        <v/>
      </c>
      <c r="D40" s="31">
        <f>ROUND(D39*(1+$B$8),0)</f>
        <v/>
      </c>
      <c r="E40" s="31">
        <f>SUM(B40:D40)</f>
        <v/>
      </c>
      <c r="F40" s="31">
        <f>E40*$B$9</f>
        <v/>
      </c>
      <c r="G40" s="31">
        <f>F40-(E40*$B$10)</f>
        <v/>
      </c>
      <c r="H40" s="31">
        <f>MAX((G40-E40*$B$11-E40*$B$12)*(1-$B$13),0)</f>
        <v/>
      </c>
      <c r="I40" s="31">
        <f>E40*$B$14</f>
        <v/>
      </c>
      <c r="J40" s="31">
        <f>J39+H40-I40-(E40*$B$15-E39*$B$15)</f>
        <v/>
      </c>
      <c r="K40" s="11" t="inlineStr">
        <is>
          <t>https://www.apexlogistics.example/internal/forecast-model</t>
        </is>
      </c>
    </row>
    <row r="41">
      <c r="A41" s="42" t="n">
        <v>46722</v>
      </c>
      <c r="B41" s="31">
        <f>ROUND(B40*(1+$B$6),0)</f>
        <v/>
      </c>
      <c r="C41" s="31">
        <f>ROUND(C40*(1+$B$7),0)</f>
        <v/>
      </c>
      <c r="D41" s="31">
        <f>ROUND(D40*(1+$B$8),0)</f>
        <v/>
      </c>
      <c r="E41" s="31">
        <f>SUM(B41:D41)</f>
        <v/>
      </c>
      <c r="F41" s="31">
        <f>E41*$B$9</f>
        <v/>
      </c>
      <c r="G41" s="31">
        <f>F41-(E41*$B$10)</f>
        <v/>
      </c>
      <c r="H41" s="31">
        <f>MAX((G41-E41*$B$11-E41*$B$12)*(1-$B$13),0)</f>
        <v/>
      </c>
      <c r="I41" s="31">
        <f>E41*$B$14</f>
        <v/>
      </c>
      <c r="J41" s="31">
        <f>J40+H41-I41-(E41*$B$15-E40*$B$15)</f>
        <v/>
      </c>
      <c r="K41" s="11" t="inlineStr">
        <is>
          <t>https://www.apexlogistics.example/internal/forecast-model</t>
        </is>
      </c>
    </row>
    <row r="42">
      <c r="A42" s="42" t="n">
        <v>46753</v>
      </c>
      <c r="B42" s="31">
        <f>ROUND(B41*(1+$B$6),0)</f>
        <v/>
      </c>
      <c r="C42" s="31">
        <f>ROUND(C41*(1+$B$7),0)</f>
        <v/>
      </c>
      <c r="D42" s="31">
        <f>ROUND(D41*(1+$B$8),0)</f>
        <v/>
      </c>
      <c r="E42" s="31">
        <f>SUM(B42:D42)</f>
        <v/>
      </c>
      <c r="F42" s="31">
        <f>E42*$B$9</f>
        <v/>
      </c>
      <c r="G42" s="31">
        <f>F42-(E42*$B$10)</f>
        <v/>
      </c>
      <c r="H42" s="31">
        <f>MAX((G42-E42*$B$11-E42*$B$12)*(1-$B$13),0)</f>
        <v/>
      </c>
      <c r="I42" s="31">
        <f>E42*$B$14</f>
        <v/>
      </c>
      <c r="J42" s="31">
        <f>J41+H42-I42-(E42*$B$15-E41*$B$15)</f>
        <v/>
      </c>
      <c r="K42" s="11" t="inlineStr">
        <is>
          <t>https://www.apexlogistics.example/internal/forecast-model</t>
        </is>
      </c>
    </row>
    <row r="45">
      <c r="A45" s="10" t="inlineStr">
        <is>
          <t>Annual Summary</t>
        </is>
      </c>
      <c r="B45" s="29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30" t="n"/>
    </row>
    <row r="46">
      <c r="A46" s="3" t="inlineStr">
        <is>
          <t>Metric</t>
        </is>
      </c>
      <c r="B46" s="3" t="inlineStr">
        <is>
          <t>2026E</t>
        </is>
      </c>
      <c r="C46" s="3" t="inlineStr">
        <is>
          <t>2027E</t>
        </is>
      </c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</row>
    <row r="47">
      <c r="A47" s="16" t="inlineStr">
        <is>
          <t>Total Revenue</t>
        </is>
      </c>
      <c r="B47" s="21">
        <f>SUMIFS(E19:E42,A19:A42,"&gt;="&amp;DATE(2026,1,1),A19:A42,"&lt;="&amp;DATE(2026,12,31))</f>
        <v/>
      </c>
      <c r="C47" s="21">
        <f>SUMIFS(E19:E42,A19:A42,"&gt;="&amp;DATE(2027,1,1),A19:A42,"&lt;="&amp;DATE(2027,12,31))</f>
        <v/>
      </c>
      <c r="D47" s="20" t="n"/>
      <c r="E47" s="20" t="n"/>
      <c r="F47" s="20" t="n"/>
      <c r="G47" s="20" t="n"/>
      <c r="H47" s="20" t="n"/>
      <c r="I47" s="20" t="n"/>
      <c r="J47" s="20" t="n"/>
      <c r="K47" s="20" t="n"/>
    </row>
    <row r="48">
      <c r="A48" s="16" t="inlineStr">
        <is>
          <t>EBITDA</t>
        </is>
      </c>
      <c r="B48" s="21">
        <f>SUMIFS(G19:G42,A19:A42,"&gt;="&amp;DATE(2026,1,1),A19:A42,"&lt;="&amp;DATE(2026,12,31))</f>
        <v/>
      </c>
      <c r="C48" s="21">
        <f>SUMIFS(G19:G42,A19:A42,"&gt;="&amp;DATE(2027,1,1),A19:A42,"&lt;="&amp;DATE(2027,12,31))</f>
        <v/>
      </c>
      <c r="D48" s="20" t="n"/>
      <c r="E48" s="20" t="n"/>
      <c r="F48" s="20" t="n"/>
      <c r="G48" s="20" t="n"/>
      <c r="H48" s="20" t="n"/>
      <c r="I48" s="20" t="n"/>
      <c r="J48" s="20" t="n"/>
      <c r="K48" s="20" t="n"/>
    </row>
    <row r="49">
      <c r="A49" s="16" t="inlineStr">
        <is>
          <t>Net Income</t>
        </is>
      </c>
      <c r="B49" s="21">
        <f>SUMIFS(H19:H42,A19:A42,"&gt;="&amp;DATE(2026,1,1),A19:A42,"&lt;="&amp;DATE(2026,12,31))</f>
        <v/>
      </c>
      <c r="C49" s="21">
        <f>SUMIFS(H19:H42,A19:A42,"&gt;="&amp;DATE(2027,1,1),A19:A42,"&lt;="&amp;DATE(2027,12,31))</f>
        <v/>
      </c>
      <c r="D49" s="20" t="n"/>
      <c r="E49" s="20" t="n"/>
      <c r="F49" s="20" t="n"/>
      <c r="G49" s="20" t="n"/>
      <c r="H49" s="20" t="n"/>
      <c r="I49" s="20" t="n"/>
      <c r="J49" s="20" t="n"/>
      <c r="K49" s="20" t="n"/>
    </row>
    <row r="50">
      <c r="A50" s="16" t="inlineStr">
        <is>
          <t>Ending Cash</t>
        </is>
      </c>
      <c r="B50" s="21">
        <f>INDEX(J19:J42,MATCH(DATE(2026,12,1),A19:A42,0))</f>
        <v/>
      </c>
      <c r="C50" s="21">
        <f>INDEX(J19:J42,MATCH(DATE(2027,12,1),A19:A42,0))</f>
        <v/>
      </c>
      <c r="D50" s="20" t="n"/>
      <c r="E50" s="20" t="n"/>
      <c r="F50" s="20" t="n"/>
      <c r="G50" s="20" t="n"/>
      <c r="H50" s="20" t="n"/>
      <c r="I50" s="20" t="n"/>
      <c r="J50" s="20" t="n"/>
      <c r="K50" s="20" t="n"/>
    </row>
  </sheetData>
  <autoFilter ref="A18:K42"/>
  <mergeCells count="5">
    <mergeCell ref="A4:K4"/>
    <mergeCell ref="A2:K2"/>
    <mergeCell ref="A1:K1"/>
    <mergeCell ref="A45:K45"/>
    <mergeCell ref="A17:K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2026-02-05T20:01:46Z</dcterms:created>
  <dcterms:modified xsi:type="dcterms:W3CDTF">2026-02-05T23:28:41Z</dcterms:modified>
</cp:coreProperties>
</file>